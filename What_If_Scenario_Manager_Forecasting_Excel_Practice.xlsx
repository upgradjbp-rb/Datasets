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istorical_Data" sheetId="2" state="visible" r:id="rId2"/>
    <sheet xmlns:r="http://schemas.openxmlformats.org/officeDocument/2006/relationships" name="Scenario_Assumptions" sheetId="3" state="visible" r:id="rId3"/>
    <sheet xmlns:r="http://schemas.openxmlformats.org/officeDocument/2006/relationships" name="What_If_Model" sheetId="4" state="visible" r:id="rId4"/>
    <sheet xmlns:r="http://schemas.openxmlformats.org/officeDocument/2006/relationships" name="Forecast_Practice" sheetId="5" state="visible" r:id="rId5"/>
    <sheet xmlns:r="http://schemas.openxmlformats.org/officeDocument/2006/relationships" name="Scenario_Manager_Guide" sheetId="6" state="visible" r:id="rId6"/>
    <sheet xmlns:r="http://schemas.openxmlformats.org/officeDocument/2006/relationships" name="Practice_Tasks" sheetId="7" state="visible" r:id="rId7"/>
    <sheet xmlns:r="http://schemas.openxmlformats.org/officeDocument/2006/relationships" name="Instructor_Answer_K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₹#,##0.00"/>
    <numFmt numFmtId="166" formatCode="0.0%"/>
    <numFmt numFmtId="167" formatCode="₹#,##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wrapText="1"/>
    </xf>
    <xf numFmtId="17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165" fontId="3" fillId="3" borderId="0" pivotButton="0" quotePrefix="0" xfId="0"/>
    <xf numFmtId="0" fontId="4" fillId="4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Historical" displayName="tblHistorical" ref="A2:J32" headerRowCount="1">
  <autoFilter ref="A2:J32"/>
  <tableColumns count="10">
    <tableColumn id="1" name="Month"/>
    <tableColumn id="2" name="Sales"/>
    <tableColumn id="3" name="Units_Sold"/>
    <tableColumn id="4" name="Marketing_Spend"/>
    <tableColumn id="5" name="Month_Name"/>
    <tableColumn id="6" name="Year"/>
    <tableColumn id="7" name="Quarter"/>
    <tableColumn id="8" name="Avg_Selling_Price"/>
    <tableColumn id="9" name="Operating_Cost"/>
    <tableColumn id="10" name="Profit"/>
  </tableColumns>
  <tableStyleInfo name="TableStyleMedium2" showRowStripes="1"/>
</table>
</file>

<file path=xl/tables/table2.xml><?xml version="1.0" encoding="utf-8"?>
<table xmlns="http://schemas.openxmlformats.org/spreadsheetml/2006/main" id="2" name="tblScenarios" displayName="tblScenarios" ref="A2:F6" headerRowCount="1">
  <autoFilter ref="A2:F6"/>
  <tableColumns count="6">
    <tableColumn id="1" name="Scenario"/>
    <tableColumn id="2" name="Sales_Growth"/>
    <tableColumn id="3" name="Volume_Growth"/>
    <tableColumn id="4" name="Price_Growth"/>
    <tableColumn id="5" name="Cost_Ratio"/>
    <tableColumn id="6" name="Marketing_Growth"/>
  </tableColumns>
  <tableStyleInfo name="TableStyleMedium2" showRowStripes="1"/>
</table>
</file>

<file path=xl/tables/table3.xml><?xml version="1.0" encoding="utf-8"?>
<table xmlns="http://schemas.openxmlformats.org/spreadsheetml/2006/main" id="3" name="tblTasks" displayName="tblTasks" ref="A2:D24" headerRowCount="1">
  <autoFilter ref="A2:D24"/>
  <tableColumns count="4">
    <tableColumn id="1" name="Module"/>
    <tableColumn id="2" name="Task_No"/>
    <tableColumn id="3" name="Student_Task"/>
    <tableColumn id="4" name="Expected_Output"/>
  </tableColumns>
  <tableStyleInfo name="TableStyleMedium2" showRowStripes="1"/>
</table>
</file>

<file path=xl/tables/table4.xml><?xml version="1.0" encoding="utf-8"?>
<table xmlns="http://schemas.openxmlformats.org/spreadsheetml/2006/main" id="4" name="tblAnswers" displayName="tblAnswers" ref="A2:C8" headerRowCount="1">
  <autoFilter ref="A2:C8"/>
  <tableColumns count="3">
    <tableColumn id="1" name="Task"/>
    <tableColumn id="2" name="Location"/>
    <tableColumn id="3" name="Formula / Setu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WHAT-IF ANALYSIS, SCENARIO MANAGER &amp; FORECASTING — PRACTICE WORKBOOK</t>
        </is>
      </c>
    </row>
    <row r="2">
      <c r="A2" t="inlineStr">
        <is>
          <t>Business case</t>
        </is>
      </c>
    </row>
    <row r="3">
      <c r="A3" t="inlineStr">
        <is>
          <t>You are a Business Analyst for a growing retail company. Management wants to understand future sales, compare business scenarios and forecast sales.</t>
        </is>
      </c>
    </row>
    <row r="4">
      <c r="A4" t="inlineStr">
        <is>
          <t>Learning journey</t>
        </is>
      </c>
    </row>
    <row r="5">
      <c r="A5" t="inlineStr">
        <is>
          <t>1. Build a linked model. 2. Change assumptions. 3. Compare scenarios. 4. Forecast future sales. 5. Recommend a strategy.</t>
        </is>
      </c>
    </row>
    <row r="6">
      <c r="A6" t="inlineStr">
        <is>
          <t>Teaching principle</t>
        </is>
      </c>
    </row>
    <row r="7">
      <c r="A7" t="inlineStr">
        <is>
          <t>Students should change assumption cells, not manually overwrite calculated outputs.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20" customWidth="1" min="8" max="8"/>
    <col width="16" customWidth="1" min="9" max="9"/>
    <col width="12" customWidth="1" min="10" max="10"/>
  </cols>
  <sheetData>
    <row r="1">
      <c r="A1" s="2" t="inlineStr">
        <is>
          <t>HISTORICAL DATA</t>
        </is>
      </c>
    </row>
    <row r="2">
      <c r="A2" s="3" t="inlineStr">
        <is>
          <t>Month</t>
        </is>
      </c>
      <c r="B2" s="3" t="inlineStr">
        <is>
          <t>Sales</t>
        </is>
      </c>
      <c r="C2" s="3" t="inlineStr">
        <is>
          <t>Units_Sold</t>
        </is>
      </c>
      <c r="D2" s="3" t="inlineStr">
        <is>
          <t>Marketing_Spend</t>
        </is>
      </c>
      <c r="E2" s="3" t="inlineStr">
        <is>
          <t>Month_Name</t>
        </is>
      </c>
      <c r="F2" s="3" t="inlineStr">
        <is>
          <t>Year</t>
        </is>
      </c>
      <c r="G2" s="3" t="inlineStr">
        <is>
          <t>Quarter</t>
        </is>
      </c>
      <c r="H2" s="3" t="inlineStr">
        <is>
          <t>Avg_Selling_Price</t>
        </is>
      </c>
      <c r="I2" s="3" t="inlineStr">
        <is>
          <t>Operating_Cost</t>
        </is>
      </c>
      <c r="J2" s="3" t="inlineStr">
        <is>
          <t>Profit</t>
        </is>
      </c>
    </row>
    <row r="3">
      <c r="A3" s="4" t="n">
        <v>45292</v>
      </c>
      <c r="B3" s="5" t="n">
        <v>820000</v>
      </c>
      <c r="C3" t="n">
        <v>820</v>
      </c>
      <c r="D3" t="n">
        <v>65000</v>
      </c>
      <c r="E3" t="inlineStr">
        <is>
          <t>Jan</t>
        </is>
      </c>
      <c r="F3" s="5" t="n">
        <v>2024</v>
      </c>
      <c r="G3" t="inlineStr">
        <is>
          <t>Q1</t>
        </is>
      </c>
      <c r="H3" s="5" t="n">
        <v>1000</v>
      </c>
      <c r="I3" s="5" t="n">
        <v>524800</v>
      </c>
      <c r="J3" t="n">
        <v>230200</v>
      </c>
    </row>
    <row r="4">
      <c r="A4" s="4" t="n">
        <v>45323</v>
      </c>
      <c r="B4" s="5" t="n">
        <v>850000</v>
      </c>
      <c r="C4" t="n">
        <v>850</v>
      </c>
      <c r="D4" t="n">
        <v>67000</v>
      </c>
      <c r="E4" t="inlineStr">
        <is>
          <t>Feb</t>
        </is>
      </c>
      <c r="F4" s="5" t="n">
        <v>2024</v>
      </c>
      <c r="G4" t="inlineStr">
        <is>
          <t>Q1</t>
        </is>
      </c>
      <c r="H4" s="5" t="n">
        <v>1000</v>
      </c>
      <c r="I4" s="5" t="n">
        <v>544000</v>
      </c>
      <c r="J4" t="n">
        <v>239000</v>
      </c>
    </row>
    <row r="5">
      <c r="A5" s="4" t="n">
        <v>45352</v>
      </c>
      <c r="B5" s="5" t="n">
        <v>880000</v>
      </c>
      <c r="C5" t="n">
        <v>875</v>
      </c>
      <c r="D5" t="n">
        <v>70000</v>
      </c>
      <c r="E5" t="inlineStr">
        <is>
          <t>Mar</t>
        </is>
      </c>
      <c r="F5" s="5" t="n">
        <v>2024</v>
      </c>
      <c r="G5" t="inlineStr">
        <is>
          <t>Q1</t>
        </is>
      </c>
      <c r="H5" s="5" t="n">
        <v>1005.714285714286</v>
      </c>
      <c r="I5" s="5" t="n">
        <v>563200</v>
      </c>
      <c r="J5" t="n">
        <v>246800</v>
      </c>
    </row>
    <row r="6">
      <c r="A6" s="4" t="n">
        <v>45383</v>
      </c>
      <c r="B6" s="5" t="n">
        <v>900000</v>
      </c>
      <c r="C6" t="n">
        <v>890</v>
      </c>
      <c r="D6" t="n">
        <v>72000</v>
      </c>
      <c r="E6" t="inlineStr">
        <is>
          <t>Apr</t>
        </is>
      </c>
      <c r="F6" s="5" t="n">
        <v>2024</v>
      </c>
      <c r="G6" t="inlineStr">
        <is>
          <t>Q2</t>
        </is>
      </c>
      <c r="H6" s="5" t="n">
        <v>1011.23595505618</v>
      </c>
      <c r="I6" s="5" t="n">
        <v>576000</v>
      </c>
      <c r="J6" t="n">
        <v>252000</v>
      </c>
    </row>
    <row r="7">
      <c r="A7" s="4" t="n">
        <v>45413</v>
      </c>
      <c r="B7" s="5" t="n">
        <v>930000</v>
      </c>
      <c r="C7" t="n">
        <v>920</v>
      </c>
      <c r="D7" t="n">
        <v>74000</v>
      </c>
      <c r="E7" t="inlineStr">
        <is>
          <t>May</t>
        </is>
      </c>
      <c r="F7" s="5" t="n">
        <v>2024</v>
      </c>
      <c r="G7" t="inlineStr">
        <is>
          <t>Q2</t>
        </is>
      </c>
      <c r="H7" s="5" t="n">
        <v>1010.869565217391</v>
      </c>
      <c r="I7" s="5" t="n">
        <v>595200</v>
      </c>
      <c r="J7" t="n">
        <v>260800</v>
      </c>
    </row>
    <row r="8">
      <c r="A8" s="4" t="n">
        <v>45444</v>
      </c>
      <c r="B8" s="5" t="n">
        <v>970000</v>
      </c>
      <c r="C8" t="n">
        <v>960</v>
      </c>
      <c r="D8" t="n">
        <v>78000</v>
      </c>
      <c r="E8" t="inlineStr">
        <is>
          <t>Jun</t>
        </is>
      </c>
      <c r="F8" s="5" t="n">
        <v>2024</v>
      </c>
      <c r="G8" t="inlineStr">
        <is>
          <t>Q2</t>
        </is>
      </c>
      <c r="H8" s="5" t="n">
        <v>1010.416666666667</v>
      </c>
      <c r="I8" s="5" t="n">
        <v>620800</v>
      </c>
      <c r="J8" t="n">
        <v>271200</v>
      </c>
    </row>
    <row r="9">
      <c r="A9" s="4" t="n">
        <v>45474</v>
      </c>
      <c r="B9" s="5" t="n">
        <v>950000</v>
      </c>
      <c r="C9" t="n">
        <v>940</v>
      </c>
      <c r="D9" t="n">
        <v>76000</v>
      </c>
      <c r="E9" t="inlineStr">
        <is>
          <t>Jul</t>
        </is>
      </c>
      <c r="F9" s="5" t="n">
        <v>2024</v>
      </c>
      <c r="G9" t="inlineStr">
        <is>
          <t>Q3</t>
        </is>
      </c>
      <c r="H9" s="5" t="n">
        <v>1010.63829787234</v>
      </c>
      <c r="I9" s="5" t="n">
        <v>608000</v>
      </c>
      <c r="J9" t="n">
        <v>266000</v>
      </c>
    </row>
    <row r="10">
      <c r="A10" s="4" t="n">
        <v>45505</v>
      </c>
      <c r="B10" s="5" t="n">
        <v>990000</v>
      </c>
      <c r="C10" t="n">
        <v>980</v>
      </c>
      <c r="D10" t="n">
        <v>80000</v>
      </c>
      <c r="E10" t="inlineStr">
        <is>
          <t>Aug</t>
        </is>
      </c>
      <c r="F10" s="5" t="n">
        <v>2024</v>
      </c>
      <c r="G10" t="inlineStr">
        <is>
          <t>Q3</t>
        </is>
      </c>
      <c r="H10" s="5" t="n">
        <v>1010.204081632653</v>
      </c>
      <c r="I10" s="5" t="n">
        <v>633600</v>
      </c>
      <c r="J10" t="n">
        <v>276400</v>
      </c>
    </row>
    <row r="11">
      <c r="A11" s="4" t="n">
        <v>45536</v>
      </c>
      <c r="B11" s="5" t="n">
        <v>1030000</v>
      </c>
      <c r="C11" t="n">
        <v>1010</v>
      </c>
      <c r="D11" t="n">
        <v>82000</v>
      </c>
      <c r="E11" t="inlineStr">
        <is>
          <t>Sep</t>
        </is>
      </c>
      <c r="F11" s="5" t="n">
        <v>2024</v>
      </c>
      <c r="G11" t="inlineStr">
        <is>
          <t>Q3</t>
        </is>
      </c>
      <c r="H11" s="5" t="n">
        <v>1019.80198019802</v>
      </c>
      <c r="I11" s="5" t="n">
        <v>659200</v>
      </c>
      <c r="J11" t="n">
        <v>288800</v>
      </c>
    </row>
    <row r="12">
      <c r="A12" s="4" t="n">
        <v>45566</v>
      </c>
      <c r="B12" s="5" t="n">
        <v>1080000</v>
      </c>
      <c r="C12" t="n">
        <v>1060</v>
      </c>
      <c r="D12" t="n">
        <v>85000</v>
      </c>
      <c r="E12" t="inlineStr">
        <is>
          <t>Oct</t>
        </is>
      </c>
      <c r="F12" s="5" t="n">
        <v>2024</v>
      </c>
      <c r="G12" t="inlineStr">
        <is>
          <t>Q4</t>
        </is>
      </c>
      <c r="H12" s="5" t="n">
        <v>1018.867924528302</v>
      </c>
      <c r="I12" s="5" t="n">
        <v>691200</v>
      </c>
      <c r="J12" t="n">
        <v>303800</v>
      </c>
    </row>
    <row r="13">
      <c r="A13" s="4" t="n">
        <v>45597</v>
      </c>
      <c r="B13" s="5" t="n">
        <v>1140000</v>
      </c>
      <c r="C13" t="n">
        <v>1120</v>
      </c>
      <c r="D13" t="n">
        <v>90000</v>
      </c>
      <c r="E13" t="inlineStr">
        <is>
          <t>Nov</t>
        </is>
      </c>
      <c r="F13" s="5" t="n">
        <v>2024</v>
      </c>
      <c r="G13" t="inlineStr">
        <is>
          <t>Q4</t>
        </is>
      </c>
      <c r="H13" s="5" t="n">
        <v>1017.857142857143</v>
      </c>
      <c r="I13" s="5" t="n">
        <v>729600</v>
      </c>
      <c r="J13" t="n">
        <v>320400</v>
      </c>
    </row>
    <row r="14">
      <c r="A14" s="4" t="n">
        <v>45627</v>
      </c>
      <c r="B14" s="5" t="n">
        <v>1280000</v>
      </c>
      <c r="C14" t="n">
        <v>1250</v>
      </c>
      <c r="D14" t="n">
        <v>105000</v>
      </c>
      <c r="E14" t="inlineStr">
        <is>
          <t>Dec</t>
        </is>
      </c>
      <c r="F14" s="5" t="n">
        <v>2024</v>
      </c>
      <c r="G14" t="inlineStr">
        <is>
          <t>Q4</t>
        </is>
      </c>
      <c r="H14" s="5" t="n">
        <v>1024</v>
      </c>
      <c r="I14" s="5" t="n">
        <v>819200</v>
      </c>
      <c r="J14" t="n">
        <v>355800</v>
      </c>
    </row>
    <row r="15">
      <c r="A15" s="4" t="n">
        <v>45658</v>
      </c>
      <c r="B15" s="5" t="n">
        <v>870000</v>
      </c>
      <c r="C15" t="n">
        <v>860</v>
      </c>
      <c r="D15" t="n">
        <v>68000</v>
      </c>
      <c r="E15" t="inlineStr">
        <is>
          <t>Jan</t>
        </is>
      </c>
      <c r="F15" s="5" t="n">
        <v>2025</v>
      </c>
      <c r="G15" t="inlineStr">
        <is>
          <t>Q1</t>
        </is>
      </c>
      <c r="H15" s="5" t="n">
        <v>1011.627906976744</v>
      </c>
      <c r="I15" s="5" t="n">
        <v>556800</v>
      </c>
      <c r="J15" t="n">
        <v>245200</v>
      </c>
    </row>
    <row r="16">
      <c r="A16" s="4" t="n">
        <v>45689</v>
      </c>
      <c r="B16" s="5" t="n">
        <v>900000</v>
      </c>
      <c r="C16" t="n">
        <v>890</v>
      </c>
      <c r="D16" t="n">
        <v>70000</v>
      </c>
      <c r="E16" t="inlineStr">
        <is>
          <t>Feb</t>
        </is>
      </c>
      <c r="F16" s="5" t="n">
        <v>2025</v>
      </c>
      <c r="G16" t="inlineStr">
        <is>
          <t>Q1</t>
        </is>
      </c>
      <c r="H16" s="5" t="n">
        <v>1011.23595505618</v>
      </c>
      <c r="I16" s="5" t="n">
        <v>576000</v>
      </c>
      <c r="J16" t="n">
        <v>254000</v>
      </c>
    </row>
    <row r="17">
      <c r="A17" s="4" t="n">
        <v>45717</v>
      </c>
      <c r="B17" s="5" t="n">
        <v>920000</v>
      </c>
      <c r="C17" t="n">
        <v>910</v>
      </c>
      <c r="D17" t="n">
        <v>72000</v>
      </c>
      <c r="E17" t="inlineStr">
        <is>
          <t>Mar</t>
        </is>
      </c>
      <c r="F17" s="5" t="n">
        <v>2025</v>
      </c>
      <c r="G17" t="inlineStr">
        <is>
          <t>Q1</t>
        </is>
      </c>
      <c r="H17" s="5" t="n">
        <v>1010.989010989011</v>
      </c>
      <c r="I17" s="5" t="n">
        <v>588800</v>
      </c>
      <c r="J17" t="n">
        <v>259200</v>
      </c>
    </row>
    <row r="18">
      <c r="A18" s="4" t="n">
        <v>45748</v>
      </c>
      <c r="B18" s="5" t="n">
        <v>950000</v>
      </c>
      <c r="C18" t="n">
        <v>940</v>
      </c>
      <c r="D18" t="n">
        <v>75000</v>
      </c>
      <c r="E18" t="inlineStr">
        <is>
          <t>Apr</t>
        </is>
      </c>
      <c r="F18" s="5" t="n">
        <v>2025</v>
      </c>
      <c r="G18" t="inlineStr">
        <is>
          <t>Q2</t>
        </is>
      </c>
      <c r="H18" s="5" t="n">
        <v>1010.63829787234</v>
      </c>
      <c r="I18" s="5" t="n">
        <v>608000</v>
      </c>
      <c r="J18" t="n">
        <v>267000</v>
      </c>
    </row>
    <row r="19">
      <c r="A19" s="4" t="n">
        <v>45778</v>
      </c>
      <c r="B19" s="5" t="n">
        <v>980000</v>
      </c>
      <c r="C19" t="n">
        <v>970</v>
      </c>
      <c r="D19" t="n">
        <v>77000</v>
      </c>
      <c r="E19" t="inlineStr">
        <is>
          <t>May</t>
        </is>
      </c>
      <c r="F19" s="5" t="n">
        <v>2025</v>
      </c>
      <c r="G19" t="inlineStr">
        <is>
          <t>Q2</t>
        </is>
      </c>
      <c r="H19" s="5" t="n">
        <v>1010.309278350515</v>
      </c>
      <c r="I19" s="5" t="n">
        <v>627200</v>
      </c>
      <c r="J19" t="n">
        <v>275800</v>
      </c>
    </row>
    <row r="20">
      <c r="A20" s="4" t="n">
        <v>45809</v>
      </c>
      <c r="B20" s="5" t="n">
        <v>1020000</v>
      </c>
      <c r="C20" t="n">
        <v>1010</v>
      </c>
      <c r="D20" t="n">
        <v>81000</v>
      </c>
      <c r="E20" t="inlineStr">
        <is>
          <t>Jun</t>
        </is>
      </c>
      <c r="F20" s="5" t="n">
        <v>2025</v>
      </c>
      <c r="G20" t="inlineStr">
        <is>
          <t>Q2</t>
        </is>
      </c>
      <c r="H20" s="5" t="n">
        <v>1009.90099009901</v>
      </c>
      <c r="I20" s="5" t="n">
        <v>652800</v>
      </c>
      <c r="J20" t="n">
        <v>286200</v>
      </c>
    </row>
    <row r="21">
      <c r="A21" s="4" t="n">
        <v>45839</v>
      </c>
      <c r="B21" s="5" t="n">
        <v>1000000</v>
      </c>
      <c r="C21" t="n">
        <v>990</v>
      </c>
      <c r="D21" t="n">
        <v>79000</v>
      </c>
      <c r="E21" t="inlineStr">
        <is>
          <t>Jul</t>
        </is>
      </c>
      <c r="F21" s="5" t="n">
        <v>2025</v>
      </c>
      <c r="G21" t="inlineStr">
        <is>
          <t>Q3</t>
        </is>
      </c>
      <c r="H21" s="5" t="n">
        <v>1010.10101010101</v>
      </c>
      <c r="I21" s="5" t="n">
        <v>640000</v>
      </c>
      <c r="J21" t="n">
        <v>281000</v>
      </c>
    </row>
    <row r="22">
      <c r="A22" s="4" t="n">
        <v>45870</v>
      </c>
      <c r="B22" s="5" t="n">
        <v>1050000</v>
      </c>
      <c r="C22" t="n">
        <v>1040</v>
      </c>
      <c r="D22" t="n">
        <v>83000</v>
      </c>
      <c r="E22" t="inlineStr">
        <is>
          <t>Aug</t>
        </is>
      </c>
      <c r="F22" s="5" t="n">
        <v>2025</v>
      </c>
      <c r="G22" t="inlineStr">
        <is>
          <t>Q3</t>
        </is>
      </c>
      <c r="H22" s="5" t="n">
        <v>1009.615384615385</v>
      </c>
      <c r="I22" s="5" t="n">
        <v>672000</v>
      </c>
      <c r="J22" t="n">
        <v>295000</v>
      </c>
    </row>
    <row r="23">
      <c r="A23" s="4" t="n">
        <v>45901</v>
      </c>
      <c r="B23" s="5" t="n">
        <v>1090000</v>
      </c>
      <c r="C23" t="n">
        <v>1080</v>
      </c>
      <c r="D23" t="n">
        <v>86000</v>
      </c>
      <c r="E23" t="inlineStr">
        <is>
          <t>Sep</t>
        </is>
      </c>
      <c r="F23" s="5" t="n">
        <v>2025</v>
      </c>
      <c r="G23" t="inlineStr">
        <is>
          <t>Q3</t>
        </is>
      </c>
      <c r="H23" s="5" t="n">
        <v>1009.259259259259</v>
      </c>
      <c r="I23" s="5" t="n">
        <v>697600</v>
      </c>
      <c r="J23" t="n">
        <v>306400</v>
      </c>
    </row>
    <row r="24">
      <c r="A24" s="4" t="n">
        <v>45931</v>
      </c>
      <c r="B24" s="5" t="n">
        <v>1140000</v>
      </c>
      <c r="C24" t="n">
        <v>1120</v>
      </c>
      <c r="D24" t="n">
        <v>89000</v>
      </c>
      <c r="E24" t="inlineStr">
        <is>
          <t>Oct</t>
        </is>
      </c>
      <c r="F24" s="5" t="n">
        <v>2025</v>
      </c>
      <c r="G24" t="inlineStr">
        <is>
          <t>Q4</t>
        </is>
      </c>
      <c r="H24" s="5" t="n">
        <v>1017.857142857143</v>
      </c>
      <c r="I24" s="5" t="n">
        <v>729600</v>
      </c>
      <c r="J24" t="n">
        <v>321400</v>
      </c>
    </row>
    <row r="25">
      <c r="A25" s="4" t="n">
        <v>45962</v>
      </c>
      <c r="B25" s="5" t="n">
        <v>1210000</v>
      </c>
      <c r="C25" t="n">
        <v>1190</v>
      </c>
      <c r="D25" t="n">
        <v>95000</v>
      </c>
      <c r="E25" t="inlineStr">
        <is>
          <t>Nov</t>
        </is>
      </c>
      <c r="F25" s="5" t="n">
        <v>2025</v>
      </c>
      <c r="G25" t="inlineStr">
        <is>
          <t>Q4</t>
        </is>
      </c>
      <c r="H25" s="5" t="n">
        <v>1016.806722689076</v>
      </c>
      <c r="I25" s="5" t="n">
        <v>774400</v>
      </c>
      <c r="J25" t="n">
        <v>340600</v>
      </c>
    </row>
    <row r="26">
      <c r="A26" s="4" t="n">
        <v>45992</v>
      </c>
      <c r="B26" s="5" t="n">
        <v>1360000</v>
      </c>
      <c r="C26" t="n">
        <v>1330</v>
      </c>
      <c r="D26" t="n">
        <v>110000</v>
      </c>
      <c r="E26" t="inlineStr">
        <is>
          <t>Dec</t>
        </is>
      </c>
      <c r="F26" s="5" t="n">
        <v>2025</v>
      </c>
      <c r="G26" t="inlineStr">
        <is>
          <t>Q4</t>
        </is>
      </c>
      <c r="H26" s="5" t="n">
        <v>1022.556390977444</v>
      </c>
      <c r="I26" s="5" t="n">
        <v>870400</v>
      </c>
      <c r="J26" t="n">
        <v>379600</v>
      </c>
    </row>
    <row r="27">
      <c r="A27" s="4" t="n">
        <v>46023</v>
      </c>
      <c r="B27" s="5" t="n">
        <v>930000</v>
      </c>
      <c r="C27" t="n">
        <v>920</v>
      </c>
      <c r="D27" t="n">
        <v>72000</v>
      </c>
      <c r="E27" t="inlineStr">
        <is>
          <t>Jan</t>
        </is>
      </c>
      <c r="F27" s="5" t="n">
        <v>2026</v>
      </c>
      <c r="G27" t="inlineStr">
        <is>
          <t>Q1</t>
        </is>
      </c>
      <c r="H27" s="5" t="n">
        <v>1010.869565217391</v>
      </c>
      <c r="I27" s="5" t="n">
        <v>595200</v>
      </c>
      <c r="J27" t="n">
        <v>262800</v>
      </c>
    </row>
    <row r="28">
      <c r="A28" s="4" t="n">
        <v>46054</v>
      </c>
      <c r="B28" s="5" t="n">
        <v>960000</v>
      </c>
      <c r="C28" t="n">
        <v>950</v>
      </c>
      <c r="D28" t="n">
        <v>75000</v>
      </c>
      <c r="E28" t="inlineStr">
        <is>
          <t>Feb</t>
        </is>
      </c>
      <c r="F28" s="5" t="n">
        <v>2026</v>
      </c>
      <c r="G28" t="inlineStr">
        <is>
          <t>Q1</t>
        </is>
      </c>
      <c r="H28" s="5" t="n">
        <v>1010.526315789474</v>
      </c>
      <c r="I28" s="5" t="n">
        <v>614400</v>
      </c>
      <c r="J28" t="n">
        <v>270600</v>
      </c>
    </row>
    <row r="29">
      <c r="A29" s="4" t="n">
        <v>46082</v>
      </c>
      <c r="B29" s="5" t="n">
        <v>990000</v>
      </c>
      <c r="C29" t="n">
        <v>980</v>
      </c>
      <c r="D29" t="n">
        <v>77000</v>
      </c>
      <c r="E29" t="inlineStr">
        <is>
          <t>Mar</t>
        </is>
      </c>
      <c r="F29" s="5" t="n">
        <v>2026</v>
      </c>
      <c r="G29" t="inlineStr">
        <is>
          <t>Q1</t>
        </is>
      </c>
      <c r="H29" s="5" t="n">
        <v>1010.204081632653</v>
      </c>
      <c r="I29" s="5" t="n">
        <v>633600</v>
      </c>
      <c r="J29" t="n">
        <v>279400</v>
      </c>
    </row>
    <row r="30">
      <c r="A30" s="4" t="n">
        <v>46113</v>
      </c>
      <c r="B30" s="5" t="n">
        <v>1020000</v>
      </c>
      <c r="C30" t="n">
        <v>1010</v>
      </c>
      <c r="D30" t="n">
        <v>80000</v>
      </c>
      <c r="E30" t="inlineStr">
        <is>
          <t>Apr</t>
        </is>
      </c>
      <c r="F30" s="5" t="n">
        <v>2026</v>
      </c>
      <c r="G30" t="inlineStr">
        <is>
          <t>Q2</t>
        </is>
      </c>
      <c r="H30" s="5" t="n">
        <v>1009.90099009901</v>
      </c>
      <c r="I30" s="5" t="n">
        <v>652800</v>
      </c>
      <c r="J30" t="n">
        <v>287200</v>
      </c>
    </row>
    <row r="31">
      <c r="A31" s="4" t="n">
        <v>46143</v>
      </c>
      <c r="B31" s="5" t="n">
        <v>1060000</v>
      </c>
      <c r="C31" t="n">
        <v>1050</v>
      </c>
      <c r="D31" t="n">
        <v>83000</v>
      </c>
      <c r="E31" t="inlineStr">
        <is>
          <t>May</t>
        </is>
      </c>
      <c r="F31" s="5" t="n">
        <v>2026</v>
      </c>
      <c r="G31" t="inlineStr">
        <is>
          <t>Q2</t>
        </is>
      </c>
      <c r="H31" s="5" t="n">
        <v>1009.52380952381</v>
      </c>
      <c r="I31" s="5" t="n">
        <v>678400</v>
      </c>
      <c r="J31" t="n">
        <v>298600</v>
      </c>
    </row>
    <row r="32">
      <c r="A32" s="4" t="n">
        <v>46174</v>
      </c>
      <c r="B32" s="5" t="n">
        <v>1100000</v>
      </c>
      <c r="C32" t="n">
        <v>1090</v>
      </c>
      <c r="D32" t="n">
        <v>87000</v>
      </c>
      <c r="E32" t="inlineStr">
        <is>
          <t>Jun</t>
        </is>
      </c>
      <c r="F32" s="5" t="n">
        <v>2026</v>
      </c>
      <c r="G32" t="inlineStr">
        <is>
          <t>Q2</t>
        </is>
      </c>
      <c r="H32" s="5" t="n">
        <v>1009.174311926605</v>
      </c>
      <c r="I32" s="5" t="n">
        <v>704000</v>
      </c>
      <c r="J32" t="n">
        <v>309000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4" customWidth="1" min="4" max="4"/>
    <col width="12" customWidth="1" min="5" max="5"/>
    <col width="18" customWidth="1" min="6" max="6"/>
  </cols>
  <sheetData>
    <row r="1">
      <c r="A1" s="2" t="inlineStr">
        <is>
          <t>SCENARIO ASSUMPTIONS</t>
        </is>
      </c>
    </row>
    <row r="2">
      <c r="A2" s="3" t="inlineStr">
        <is>
          <t>Scenario</t>
        </is>
      </c>
      <c r="B2" s="3" t="inlineStr">
        <is>
          <t>Sales_Growth</t>
        </is>
      </c>
      <c r="C2" s="3" t="inlineStr">
        <is>
          <t>Volume_Growth</t>
        </is>
      </c>
      <c r="D2" s="3" t="inlineStr">
        <is>
          <t>Price_Growth</t>
        </is>
      </c>
      <c r="E2" s="3" t="inlineStr">
        <is>
          <t>Cost_Ratio</t>
        </is>
      </c>
      <c r="F2" s="3" t="inlineStr">
        <is>
          <t>Marketing_Growth</t>
        </is>
      </c>
    </row>
    <row r="3">
      <c r="A3" t="inlineStr">
        <is>
          <t>Base</t>
        </is>
      </c>
      <c r="B3" s="6" t="n">
        <v>0.08</v>
      </c>
      <c r="C3" s="6" t="n">
        <v>0</v>
      </c>
      <c r="D3" s="6" t="n">
        <v>0.05</v>
      </c>
      <c r="E3" s="6" t="n">
        <v>0.64</v>
      </c>
      <c r="F3" s="6" t="n">
        <v>0.1</v>
      </c>
    </row>
    <row r="4">
      <c r="A4" t="inlineStr">
        <is>
          <t>Conservative</t>
        </is>
      </c>
      <c r="B4" s="6" t="n">
        <v>0.04</v>
      </c>
      <c r="C4" s="6" t="n">
        <v>-0.03</v>
      </c>
      <c r="D4" s="6" t="n">
        <v>0.03</v>
      </c>
      <c r="E4" s="6" t="n">
        <v>0.67</v>
      </c>
      <c r="F4" s="6" t="n">
        <v>0.08</v>
      </c>
    </row>
    <row r="5">
      <c r="A5" t="inlineStr">
        <is>
          <t>Growth</t>
        </is>
      </c>
      <c r="B5" s="6" t="n">
        <v>0.15</v>
      </c>
      <c r="C5" s="6" t="n">
        <v>0.05</v>
      </c>
      <c r="D5" s="6" t="n">
        <v>0.08</v>
      </c>
      <c r="E5" s="6" t="n">
        <v>0.62</v>
      </c>
      <c r="F5" s="6" t="n">
        <v>0.12</v>
      </c>
    </row>
    <row r="6">
      <c r="A6" t="inlineStr">
        <is>
          <t>Aggressive</t>
        </is>
      </c>
      <c r="B6" s="6" t="n">
        <v>0.22</v>
      </c>
      <c r="C6" s="6" t="n">
        <v>0.1</v>
      </c>
      <c r="D6" s="6" t="n">
        <v>0.12</v>
      </c>
      <c r="E6" s="6" t="n">
        <v>0.59</v>
      </c>
      <c r="F6" s="6" t="n">
        <v>0.15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2" t="inlineStr">
        <is>
          <t>WHAT-IF MODEL</t>
        </is>
      </c>
    </row>
    <row r="2">
      <c r="A2" s="7" t="inlineStr">
        <is>
          <t>Base Sales (Latest Month)</t>
        </is>
      </c>
      <c r="B2" s="8" t="n">
        <v>1100000</v>
      </c>
      <c r="C2" s="7" t="inlineStr">
        <is>
          <t>Starting point</t>
        </is>
      </c>
    </row>
    <row r="3">
      <c r="A3" t="inlineStr">
        <is>
          <t>Base Units (Latest Month)</t>
        </is>
      </c>
      <c r="B3" t="n">
        <v>1090</v>
      </c>
      <c r="C3" t="inlineStr">
        <is>
          <t>Starting point</t>
        </is>
      </c>
    </row>
    <row r="4">
      <c r="A4" t="inlineStr">
        <is>
          <t>Base ASP</t>
        </is>
      </c>
      <c r="B4" s="5" t="n">
        <v>1009.174311926605</v>
      </c>
      <c r="C4" t="inlineStr">
        <is>
          <t>Starting point</t>
        </is>
      </c>
    </row>
    <row r="5">
      <c r="A5" t="inlineStr">
        <is>
          <t>Base Marketing Spend</t>
        </is>
      </c>
      <c r="B5" s="5" t="n">
        <v>87000</v>
      </c>
      <c r="C5" t="inlineStr">
        <is>
          <t>Starting point</t>
        </is>
      </c>
    </row>
    <row r="6">
      <c r="A6" t="inlineStr"/>
      <c r="B6" t="inlineStr"/>
      <c r="C6" t="inlineStr"/>
    </row>
    <row r="7">
      <c r="A7" s="9" t="inlineStr">
        <is>
          <t>ASSUMPTIONS</t>
        </is>
      </c>
      <c r="B7" s="9" t="inlineStr"/>
      <c r="C7" s="9" t="inlineStr"/>
    </row>
    <row r="8">
      <c r="A8" t="inlineStr">
        <is>
          <t>Sales Growth</t>
        </is>
      </c>
      <c r="B8" s="6" t="n">
        <v>0.08</v>
      </c>
      <c r="C8" t="inlineStr">
        <is>
          <t>Change for What-If analysis</t>
        </is>
      </c>
    </row>
    <row r="9">
      <c r="A9" t="inlineStr">
        <is>
          <t>Volume Growth</t>
        </is>
      </c>
      <c r="B9" s="6" t="n">
        <v>0</v>
      </c>
      <c r="C9" t="inlineStr">
        <is>
          <t>Change for What-If analysis</t>
        </is>
      </c>
    </row>
    <row r="10">
      <c r="A10" t="inlineStr">
        <is>
          <t>Price Growth</t>
        </is>
      </c>
      <c r="B10" s="6" t="n">
        <v>0.05</v>
      </c>
      <c r="C10" t="inlineStr">
        <is>
          <t>Change for What-If analysis</t>
        </is>
      </c>
    </row>
    <row r="11">
      <c r="A11" t="inlineStr">
        <is>
          <t>Cost Ratio</t>
        </is>
      </c>
      <c r="B11" s="6" t="n">
        <v>0.64</v>
      </c>
      <c r="C11" t="inlineStr">
        <is>
          <t>Change for What-If analysis</t>
        </is>
      </c>
    </row>
    <row r="12">
      <c r="A12" t="inlineStr">
        <is>
          <t>Marketing Growth</t>
        </is>
      </c>
      <c r="B12" s="6" t="n">
        <v>0.1</v>
      </c>
      <c r="C12" t="inlineStr">
        <is>
          <t>Change for What-If analysis</t>
        </is>
      </c>
    </row>
    <row r="13">
      <c r="A13" s="9" t="inlineStr"/>
      <c r="B13" s="9" t="inlineStr"/>
      <c r="C13" s="9" t="inlineStr"/>
    </row>
    <row r="14">
      <c r="A14" t="inlineStr">
        <is>
          <t>Projected Units</t>
        </is>
      </c>
      <c r="B14">
        <f>B3*(1+B9)</f>
        <v/>
      </c>
      <c r="C14" t="inlineStr"/>
    </row>
    <row r="15">
      <c r="A15" t="inlineStr">
        <is>
          <t>Projected ASP</t>
        </is>
      </c>
      <c r="B15" s="5">
        <f>B4*(1+B10)</f>
        <v/>
      </c>
      <c r="C15" t="inlineStr"/>
    </row>
    <row r="16">
      <c r="A16" t="inlineStr">
        <is>
          <t>Projected Revenue</t>
        </is>
      </c>
      <c r="B16" s="5">
        <f>B14*B15</f>
        <v/>
      </c>
      <c r="C16" t="inlineStr"/>
    </row>
    <row r="17">
      <c r="A17" t="inlineStr">
        <is>
          <t>Projected Operating Cost</t>
        </is>
      </c>
      <c r="B17" s="5">
        <f>B16*B11</f>
        <v/>
      </c>
      <c r="C17" t="inlineStr"/>
    </row>
    <row r="18">
      <c r="A18" t="inlineStr">
        <is>
          <t>Projected Marketing Spend</t>
        </is>
      </c>
      <c r="B18" s="5">
        <f>B5*(1+B12)</f>
        <v/>
      </c>
      <c r="C18" t="inlineStr"/>
    </row>
    <row r="19">
      <c r="A19" t="inlineStr">
        <is>
          <t>Projected Profit</t>
        </is>
      </c>
      <c r="B19" s="5">
        <f>B16-B17-B18</f>
        <v/>
      </c>
      <c r="C19" t="inlineStr"/>
    </row>
    <row r="20">
      <c r="A20" t="inlineStr">
        <is>
          <t>Profit Margin</t>
        </is>
      </c>
      <c r="B20" s="6">
        <f>B19/B16</f>
        <v/>
      </c>
      <c r="C20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FORECAST PRACTICE</t>
        </is>
      </c>
    </row>
    <row r="2">
      <c r="A2" s="7" t="inlineStr">
        <is>
          <t>Month</t>
        </is>
      </c>
      <c r="B2" s="7" t="inlineStr">
        <is>
          <t>Actual Sales</t>
        </is>
      </c>
      <c r="C2" s="7" t="inlineStr">
        <is>
          <t>Time Index</t>
        </is>
      </c>
      <c r="D2" s="7" t="inlineStr">
        <is>
          <t>Linear Forecast</t>
        </is>
      </c>
      <c r="E2" s="7" t="inlineStr">
        <is>
          <t>Forecast Error</t>
        </is>
      </c>
      <c r="F2" s="7" t="inlineStr">
        <is>
          <t>Absolute % Error</t>
        </is>
      </c>
    </row>
    <row r="3">
      <c r="A3" s="4" t="n">
        <v>45292</v>
      </c>
      <c r="B3" s="10" t="n">
        <v>820000</v>
      </c>
      <c r="C3" t="n">
        <v>1</v>
      </c>
      <c r="D3" s="10">
        <f>FORECAST.LINEAR(C3,$B$3:$B$32,$C$3:$C$32)</f>
        <v/>
      </c>
      <c r="E3" s="10">
        <f>B3-D3</f>
        <v/>
      </c>
      <c r="F3" s="6">
        <f>IFERROR(ABS(E3/B3),"")</f>
        <v/>
      </c>
    </row>
    <row r="4">
      <c r="A4" s="4" t="n">
        <v>45323</v>
      </c>
      <c r="B4" s="10" t="n">
        <v>850000</v>
      </c>
      <c r="C4" t="n">
        <v>2</v>
      </c>
      <c r="D4" s="10">
        <f>FORECAST.LINEAR(C4,$B$3:$B$32,$C$3:$C$32)</f>
        <v/>
      </c>
      <c r="E4" s="10">
        <f>B4-D4</f>
        <v/>
      </c>
      <c r="F4" s="6">
        <f>IFERROR(ABS(E4/B4),"")</f>
        <v/>
      </c>
    </row>
    <row r="5">
      <c r="A5" s="4" t="n">
        <v>45352</v>
      </c>
      <c r="B5" s="10" t="n">
        <v>880000</v>
      </c>
      <c r="C5" t="n">
        <v>3</v>
      </c>
      <c r="D5" s="10">
        <f>FORECAST.LINEAR(C5,$B$3:$B$32,$C$3:$C$32)</f>
        <v/>
      </c>
      <c r="E5" s="10">
        <f>B5-D5</f>
        <v/>
      </c>
      <c r="F5" s="6">
        <f>IFERROR(ABS(E5/B5),"")</f>
        <v/>
      </c>
    </row>
    <row r="6">
      <c r="A6" s="4" t="n">
        <v>45383</v>
      </c>
      <c r="B6" s="10" t="n">
        <v>900000</v>
      </c>
      <c r="C6" t="n">
        <v>4</v>
      </c>
      <c r="D6" s="10">
        <f>FORECAST.LINEAR(C6,$B$3:$B$32,$C$3:$C$32)</f>
        <v/>
      </c>
      <c r="E6" s="10">
        <f>B6-D6</f>
        <v/>
      </c>
      <c r="F6" s="6">
        <f>IFERROR(ABS(E6/B6),"")</f>
        <v/>
      </c>
    </row>
    <row r="7">
      <c r="A7" s="4" t="n">
        <v>45413</v>
      </c>
      <c r="B7" s="10" t="n">
        <v>930000</v>
      </c>
      <c r="C7" t="n">
        <v>5</v>
      </c>
      <c r="D7" s="10">
        <f>FORECAST.LINEAR(C7,$B$3:$B$32,$C$3:$C$32)</f>
        <v/>
      </c>
      <c r="E7" s="10">
        <f>B7-D7</f>
        <v/>
      </c>
      <c r="F7" s="6">
        <f>IFERROR(ABS(E7/B7),"")</f>
        <v/>
      </c>
    </row>
    <row r="8">
      <c r="A8" s="4" t="n">
        <v>45444</v>
      </c>
      <c r="B8" s="10" t="n">
        <v>970000</v>
      </c>
      <c r="C8" t="n">
        <v>6</v>
      </c>
      <c r="D8" s="10">
        <f>FORECAST.LINEAR(C8,$B$3:$B$32,$C$3:$C$32)</f>
        <v/>
      </c>
      <c r="E8" s="10">
        <f>B8-D8</f>
        <v/>
      </c>
      <c r="F8" s="6">
        <f>IFERROR(ABS(E8/B8),"")</f>
        <v/>
      </c>
    </row>
    <row r="9">
      <c r="A9" s="4" t="n">
        <v>45474</v>
      </c>
      <c r="B9" s="10" t="n">
        <v>950000</v>
      </c>
      <c r="C9" t="n">
        <v>7</v>
      </c>
      <c r="D9" s="10">
        <f>FORECAST.LINEAR(C9,$B$3:$B$32,$C$3:$C$32)</f>
        <v/>
      </c>
      <c r="E9" s="10">
        <f>B9-D9</f>
        <v/>
      </c>
      <c r="F9" s="6">
        <f>IFERROR(ABS(E9/B9),"")</f>
        <v/>
      </c>
    </row>
    <row r="10">
      <c r="A10" s="4" t="n">
        <v>45505</v>
      </c>
      <c r="B10" s="10" t="n">
        <v>990000</v>
      </c>
      <c r="C10" t="n">
        <v>8</v>
      </c>
      <c r="D10" s="10">
        <f>FORECAST.LINEAR(C10,$B$3:$B$32,$C$3:$C$32)</f>
        <v/>
      </c>
      <c r="E10" s="10">
        <f>B10-D10</f>
        <v/>
      </c>
      <c r="F10" s="6">
        <f>IFERROR(ABS(E10/B10),"")</f>
        <v/>
      </c>
    </row>
    <row r="11">
      <c r="A11" s="4" t="n">
        <v>45536</v>
      </c>
      <c r="B11" s="10" t="n">
        <v>1030000</v>
      </c>
      <c r="C11" t="n">
        <v>9</v>
      </c>
      <c r="D11" s="10">
        <f>FORECAST.LINEAR(C11,$B$3:$B$32,$C$3:$C$32)</f>
        <v/>
      </c>
      <c r="E11" s="10">
        <f>B11-D11</f>
        <v/>
      </c>
      <c r="F11" s="6">
        <f>IFERROR(ABS(E11/B11),"")</f>
        <v/>
      </c>
    </row>
    <row r="12">
      <c r="A12" s="4" t="n">
        <v>45566</v>
      </c>
      <c r="B12" s="10" t="n">
        <v>1080000</v>
      </c>
      <c r="C12" t="n">
        <v>10</v>
      </c>
      <c r="D12" s="10">
        <f>FORECAST.LINEAR(C12,$B$3:$B$32,$C$3:$C$32)</f>
        <v/>
      </c>
      <c r="E12" s="10">
        <f>B12-D12</f>
        <v/>
      </c>
      <c r="F12" s="6">
        <f>IFERROR(ABS(E12/B12),"")</f>
        <v/>
      </c>
    </row>
    <row r="13">
      <c r="A13" s="4" t="n">
        <v>45597</v>
      </c>
      <c r="B13" s="10" t="n">
        <v>1140000</v>
      </c>
      <c r="C13" t="n">
        <v>11</v>
      </c>
      <c r="D13" s="10">
        <f>FORECAST.LINEAR(C13,$B$3:$B$32,$C$3:$C$32)</f>
        <v/>
      </c>
      <c r="E13" s="10">
        <f>B13-D13</f>
        <v/>
      </c>
      <c r="F13" s="6">
        <f>IFERROR(ABS(E13/B13),"")</f>
        <v/>
      </c>
    </row>
    <row r="14">
      <c r="A14" s="4" t="n">
        <v>45627</v>
      </c>
      <c r="B14" s="10" t="n">
        <v>1280000</v>
      </c>
      <c r="C14" t="n">
        <v>12</v>
      </c>
      <c r="D14" s="10">
        <f>FORECAST.LINEAR(C14,$B$3:$B$32,$C$3:$C$32)</f>
        <v/>
      </c>
      <c r="E14" s="10">
        <f>B14-D14</f>
        <v/>
      </c>
      <c r="F14" s="6">
        <f>IFERROR(ABS(E14/B14),"")</f>
        <v/>
      </c>
    </row>
    <row r="15">
      <c r="A15" s="4" t="n">
        <v>45658</v>
      </c>
      <c r="B15" s="10" t="n">
        <v>870000</v>
      </c>
      <c r="C15" t="n">
        <v>13</v>
      </c>
      <c r="D15" s="10">
        <f>FORECAST.LINEAR(C15,$B$3:$B$32,$C$3:$C$32)</f>
        <v/>
      </c>
      <c r="E15" s="10">
        <f>B15-D15</f>
        <v/>
      </c>
      <c r="F15" s="6">
        <f>IFERROR(ABS(E15/B15),"")</f>
        <v/>
      </c>
    </row>
    <row r="16">
      <c r="A16" s="4" t="n">
        <v>45689</v>
      </c>
      <c r="B16" s="10" t="n">
        <v>900000</v>
      </c>
      <c r="C16" t="n">
        <v>14</v>
      </c>
      <c r="D16" s="10">
        <f>FORECAST.LINEAR(C16,$B$3:$B$32,$C$3:$C$32)</f>
        <v/>
      </c>
      <c r="E16" s="10">
        <f>B16-D16</f>
        <v/>
      </c>
      <c r="F16" s="6">
        <f>IFERROR(ABS(E16/B16),"")</f>
        <v/>
      </c>
    </row>
    <row r="17">
      <c r="A17" s="4" t="n">
        <v>45717</v>
      </c>
      <c r="B17" s="10" t="n">
        <v>920000</v>
      </c>
      <c r="C17" t="n">
        <v>15</v>
      </c>
      <c r="D17" s="10">
        <f>FORECAST.LINEAR(C17,$B$3:$B$32,$C$3:$C$32)</f>
        <v/>
      </c>
      <c r="E17" s="10">
        <f>B17-D17</f>
        <v/>
      </c>
      <c r="F17" s="6">
        <f>IFERROR(ABS(E17/B17),"")</f>
        <v/>
      </c>
    </row>
    <row r="18">
      <c r="A18" s="4" t="n">
        <v>45748</v>
      </c>
      <c r="B18" s="10" t="n">
        <v>950000</v>
      </c>
      <c r="C18" t="n">
        <v>16</v>
      </c>
      <c r="D18" s="10">
        <f>FORECAST.LINEAR(C18,$B$3:$B$32,$C$3:$C$32)</f>
        <v/>
      </c>
      <c r="E18" s="10">
        <f>B18-D18</f>
        <v/>
      </c>
      <c r="F18" s="6">
        <f>IFERROR(ABS(E18/B18),"")</f>
        <v/>
      </c>
    </row>
    <row r="19">
      <c r="A19" s="4" t="n">
        <v>45778</v>
      </c>
      <c r="B19" s="10" t="n">
        <v>980000</v>
      </c>
      <c r="C19" t="n">
        <v>17</v>
      </c>
      <c r="D19" s="10">
        <f>FORECAST.LINEAR(C19,$B$3:$B$32,$C$3:$C$32)</f>
        <v/>
      </c>
      <c r="E19" s="10">
        <f>B19-D19</f>
        <v/>
      </c>
      <c r="F19" s="6">
        <f>IFERROR(ABS(E19/B19),"")</f>
        <v/>
      </c>
    </row>
    <row r="20">
      <c r="A20" s="4" t="n">
        <v>45809</v>
      </c>
      <c r="B20" s="10" t="n">
        <v>1020000</v>
      </c>
      <c r="C20" t="n">
        <v>18</v>
      </c>
      <c r="D20" s="10">
        <f>FORECAST.LINEAR(C20,$B$3:$B$32,$C$3:$C$32)</f>
        <v/>
      </c>
      <c r="E20" s="10">
        <f>B20-D20</f>
        <v/>
      </c>
      <c r="F20" s="6">
        <f>IFERROR(ABS(E20/B20),"")</f>
        <v/>
      </c>
    </row>
    <row r="21">
      <c r="A21" s="4" t="n">
        <v>45839</v>
      </c>
      <c r="B21" s="10" t="n">
        <v>1000000</v>
      </c>
      <c r="C21" t="n">
        <v>19</v>
      </c>
      <c r="D21" s="10">
        <f>FORECAST.LINEAR(C21,$B$3:$B$32,$C$3:$C$32)</f>
        <v/>
      </c>
      <c r="E21" s="10">
        <f>B21-D21</f>
        <v/>
      </c>
      <c r="F21" s="6">
        <f>IFERROR(ABS(E21/B21),"")</f>
        <v/>
      </c>
    </row>
    <row r="22">
      <c r="A22" s="4" t="n">
        <v>45870</v>
      </c>
      <c r="B22" s="10" t="n">
        <v>1050000</v>
      </c>
      <c r="C22" t="n">
        <v>20</v>
      </c>
      <c r="D22" s="10">
        <f>FORECAST.LINEAR(C22,$B$3:$B$32,$C$3:$C$32)</f>
        <v/>
      </c>
      <c r="E22" s="10">
        <f>B22-D22</f>
        <v/>
      </c>
      <c r="F22" s="6">
        <f>IFERROR(ABS(E22/B22),"")</f>
        <v/>
      </c>
    </row>
    <row r="23">
      <c r="A23" s="4" t="n">
        <v>45901</v>
      </c>
      <c r="B23" s="10" t="n">
        <v>1090000</v>
      </c>
      <c r="C23" t="n">
        <v>21</v>
      </c>
      <c r="D23" s="10">
        <f>FORECAST.LINEAR(C23,$B$3:$B$32,$C$3:$C$32)</f>
        <v/>
      </c>
      <c r="E23" s="10">
        <f>B23-D23</f>
        <v/>
      </c>
      <c r="F23" s="6">
        <f>IFERROR(ABS(E23/B23),"")</f>
        <v/>
      </c>
    </row>
    <row r="24">
      <c r="A24" s="4" t="n">
        <v>45931</v>
      </c>
      <c r="B24" s="10" t="n">
        <v>1140000</v>
      </c>
      <c r="C24" t="n">
        <v>22</v>
      </c>
      <c r="D24" s="10">
        <f>FORECAST.LINEAR(C24,$B$3:$B$32,$C$3:$C$32)</f>
        <v/>
      </c>
      <c r="E24" s="10">
        <f>B24-D24</f>
        <v/>
      </c>
      <c r="F24" s="6">
        <f>IFERROR(ABS(E24/B24),"")</f>
        <v/>
      </c>
    </row>
    <row r="25">
      <c r="A25" s="4" t="n">
        <v>45962</v>
      </c>
      <c r="B25" s="10" t="n">
        <v>1210000</v>
      </c>
      <c r="C25" t="n">
        <v>23</v>
      </c>
      <c r="D25" s="10">
        <f>FORECAST.LINEAR(C25,$B$3:$B$32,$C$3:$C$32)</f>
        <v/>
      </c>
      <c r="E25" s="10">
        <f>B25-D25</f>
        <v/>
      </c>
      <c r="F25" s="6">
        <f>IFERROR(ABS(E25/B25),"")</f>
        <v/>
      </c>
    </row>
    <row r="26">
      <c r="A26" s="4" t="n">
        <v>45992</v>
      </c>
      <c r="B26" s="10" t="n">
        <v>1360000</v>
      </c>
      <c r="C26" t="n">
        <v>24</v>
      </c>
      <c r="D26" s="10">
        <f>FORECAST.LINEAR(C26,$B$3:$B$32,$C$3:$C$32)</f>
        <v/>
      </c>
      <c r="E26" s="10">
        <f>B26-D26</f>
        <v/>
      </c>
      <c r="F26" s="6">
        <f>IFERROR(ABS(E26/B26),"")</f>
        <v/>
      </c>
    </row>
    <row r="27">
      <c r="A27" s="4" t="n">
        <v>46023</v>
      </c>
      <c r="B27" s="10" t="n">
        <v>930000</v>
      </c>
      <c r="C27" t="n">
        <v>25</v>
      </c>
      <c r="D27" s="10">
        <f>FORECAST.LINEAR(C27,$B$3:$B$32,$C$3:$C$32)</f>
        <v/>
      </c>
      <c r="E27" s="10">
        <f>B27-D27</f>
        <v/>
      </c>
      <c r="F27" s="6">
        <f>IFERROR(ABS(E27/B27),"")</f>
        <v/>
      </c>
    </row>
    <row r="28">
      <c r="A28" s="4" t="n">
        <v>46054</v>
      </c>
      <c r="B28" s="10" t="n">
        <v>960000</v>
      </c>
      <c r="C28" t="n">
        <v>26</v>
      </c>
      <c r="D28" s="10">
        <f>FORECAST.LINEAR(C28,$B$3:$B$32,$C$3:$C$32)</f>
        <v/>
      </c>
      <c r="E28" s="10">
        <f>B28-D28</f>
        <v/>
      </c>
      <c r="F28" s="6">
        <f>IFERROR(ABS(E28/B28),"")</f>
        <v/>
      </c>
    </row>
    <row r="29">
      <c r="A29" s="4" t="n">
        <v>46082</v>
      </c>
      <c r="B29" s="10" t="n">
        <v>990000</v>
      </c>
      <c r="C29" t="n">
        <v>27</v>
      </c>
      <c r="D29" s="10">
        <f>FORECAST.LINEAR(C29,$B$3:$B$32,$C$3:$C$32)</f>
        <v/>
      </c>
      <c r="E29" s="10">
        <f>B29-D29</f>
        <v/>
      </c>
      <c r="F29" s="6">
        <f>IFERROR(ABS(E29/B29),"")</f>
        <v/>
      </c>
    </row>
    <row r="30">
      <c r="A30" s="4" t="n">
        <v>46113</v>
      </c>
      <c r="B30" s="10" t="n">
        <v>1020000</v>
      </c>
      <c r="C30" t="n">
        <v>28</v>
      </c>
      <c r="D30" s="10">
        <f>FORECAST.LINEAR(C30,$B$3:$B$32,$C$3:$C$32)</f>
        <v/>
      </c>
      <c r="E30" s="10">
        <f>B30-D30</f>
        <v/>
      </c>
      <c r="F30" s="6">
        <f>IFERROR(ABS(E30/B30),"")</f>
        <v/>
      </c>
    </row>
    <row r="31">
      <c r="A31" s="4" t="n">
        <v>46143</v>
      </c>
      <c r="B31" s="10" t="n">
        <v>1060000</v>
      </c>
      <c r="C31" t="n">
        <v>29</v>
      </c>
      <c r="D31" s="10">
        <f>FORECAST.LINEAR(C31,$B$3:$B$32,$C$3:$C$32)</f>
        <v/>
      </c>
      <c r="E31" s="10">
        <f>B31-D31</f>
        <v/>
      </c>
      <c r="F31" s="6">
        <f>IFERROR(ABS(E31/B31),"")</f>
        <v/>
      </c>
    </row>
    <row r="32">
      <c r="A32" s="4" t="n">
        <v>46174</v>
      </c>
      <c r="B32" s="10" t="n">
        <v>1100000</v>
      </c>
      <c r="C32" t="n">
        <v>30</v>
      </c>
      <c r="D32" s="10">
        <f>FORECAST.LINEAR(C32,$B$3:$B$32,$C$3:$C$32)</f>
        <v/>
      </c>
      <c r="E32" s="10">
        <f>B32-D32</f>
        <v/>
      </c>
      <c r="F32" s="6">
        <f>IFERROR(ABS(E32/B32),"")</f>
        <v/>
      </c>
    </row>
    <row r="33">
      <c r="A33" s="4">
        <f>EDATE(A32,1)</f>
        <v/>
      </c>
      <c r="C33" t="n">
        <v>31</v>
      </c>
      <c r="D33" s="10">
        <f>FORECAST.LINEAR(C33,$B$3:$B$32,$C$3:$C$32)</f>
        <v/>
      </c>
    </row>
    <row r="34">
      <c r="A34" s="4">
        <f>EDATE(A33,1)</f>
        <v/>
      </c>
      <c r="C34" t="n">
        <v>32</v>
      </c>
      <c r="D34" s="10">
        <f>FORECAST.LINEAR(C34,$B$3:$B$32,$C$3:$C$32)</f>
        <v/>
      </c>
    </row>
    <row r="35">
      <c r="A35" s="4">
        <f>EDATE(A34,1)</f>
        <v/>
      </c>
      <c r="C35" t="n">
        <v>33</v>
      </c>
      <c r="D35" s="10">
        <f>FORECAST.LINEAR(C35,$B$3:$B$32,$C$3:$C$32)</f>
        <v/>
      </c>
    </row>
    <row r="36">
      <c r="A36" s="4">
        <f>EDATE(A35,1)</f>
        <v/>
      </c>
      <c r="C36" t="n">
        <v>34</v>
      </c>
      <c r="D36" s="10">
        <f>FORECAST.LINEAR(C36,$B$3:$B$32,$C$3:$C$32)</f>
        <v/>
      </c>
    </row>
    <row r="37">
      <c r="A37" s="4">
        <f>EDATE(A36,1)</f>
        <v/>
      </c>
      <c r="C37" t="n">
        <v>35</v>
      </c>
      <c r="D37" s="10">
        <f>FORECAST.LINEAR(C37,$B$3:$B$32,$C$3:$C$32)</f>
        <v/>
      </c>
    </row>
    <row r="38">
      <c r="A38" s="4">
        <f>EDATE(A37,1)</f>
        <v/>
      </c>
      <c r="C38" t="n">
        <v>36</v>
      </c>
      <c r="D38" s="10">
        <f>FORECAST.LINEAR(C38,$B$3:$B$32,$C$3:$C$32)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SCENARIO MANAGER GUIDE</t>
        </is>
      </c>
    </row>
    <row r="2">
      <c r="A2" t="inlineStr">
        <is>
          <t>Changing cells in What_If_Model: B8:B12</t>
        </is>
      </c>
    </row>
    <row r="3">
      <c r="A3" s="7" t="inlineStr">
        <is>
          <t>Scenario</t>
        </is>
      </c>
      <c r="B3" s="7" t="inlineStr">
        <is>
          <t>Sales Growth</t>
        </is>
      </c>
      <c r="C3" s="7" t="inlineStr">
        <is>
          <t>Volume Growth</t>
        </is>
      </c>
      <c r="D3" s="7" t="inlineStr">
        <is>
          <t>Price Growth</t>
        </is>
      </c>
      <c r="E3" s="7" t="inlineStr">
        <is>
          <t>Cost Ratio</t>
        </is>
      </c>
      <c r="F3" s="7" t="inlineStr">
        <is>
          <t>Marketing Growth</t>
        </is>
      </c>
    </row>
    <row r="4">
      <c r="A4" t="inlineStr">
        <is>
          <t>Base</t>
        </is>
      </c>
      <c r="B4" s="6" t="n">
        <v>0.08</v>
      </c>
      <c r="C4" s="6" t="n">
        <v>0</v>
      </c>
      <c r="D4" s="6" t="n">
        <v>0.05</v>
      </c>
      <c r="E4" s="6" t="n">
        <v>0.64</v>
      </c>
      <c r="F4" s="6" t="n">
        <v>0.1</v>
      </c>
    </row>
    <row r="5">
      <c r="A5" t="inlineStr">
        <is>
          <t>Conservative</t>
        </is>
      </c>
      <c r="B5" s="6" t="n">
        <v>0.04</v>
      </c>
      <c r="C5" s="6" t="n">
        <v>-0.03</v>
      </c>
      <c r="D5" s="6" t="n">
        <v>0.03</v>
      </c>
      <c r="E5" s="6" t="n">
        <v>0.67</v>
      </c>
      <c r="F5" s="6" t="n">
        <v>0.08</v>
      </c>
    </row>
    <row r="6">
      <c r="A6" t="inlineStr">
        <is>
          <t>Growth</t>
        </is>
      </c>
      <c r="B6" s="6" t="n">
        <v>0.15</v>
      </c>
      <c r="C6" s="6" t="n">
        <v>0.05</v>
      </c>
      <c r="D6" s="6" t="n">
        <v>0.08</v>
      </c>
      <c r="E6" s="6" t="n">
        <v>0.62</v>
      </c>
      <c r="F6" s="6" t="n">
        <v>0.12</v>
      </c>
    </row>
    <row r="7">
      <c r="A7" t="inlineStr">
        <is>
          <t>Aggressive</t>
        </is>
      </c>
      <c r="B7" s="6" t="n">
        <v>0.22</v>
      </c>
      <c r="C7" s="6" t="n">
        <v>0.1</v>
      </c>
      <c r="D7" s="6" t="n">
        <v>0.12</v>
      </c>
      <c r="E7" s="6" t="n">
        <v>0.59</v>
      </c>
      <c r="F7" s="6" t="n">
        <v>0.15</v>
      </c>
    </row>
    <row r="8">
      <c r="A8" t="inlineStr"/>
    </row>
    <row r="9">
      <c r="A9" t="inlineStr">
        <is>
          <t>Steps</t>
        </is>
      </c>
    </row>
    <row r="10">
      <c r="A10" t="inlineStr">
        <is>
          <t>1. Data → What-If Analysis → Scenario Manager</t>
        </is>
      </c>
    </row>
    <row r="11">
      <c r="A11" t="inlineStr">
        <is>
          <t>2. Add four scenarios</t>
        </is>
      </c>
    </row>
    <row r="12">
      <c r="A12" t="inlineStr">
        <is>
          <t>3. Changing cells = What_If_Model!B8:B12</t>
        </is>
      </c>
    </row>
    <row r="13">
      <c r="A13" t="inlineStr">
        <is>
          <t>4. Result cells = What_If_Model!B16:B20</t>
        </is>
      </c>
    </row>
    <row r="14">
      <c r="A14" t="inlineStr">
        <is>
          <t>5. Generate Scenario Summary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40" customWidth="1" min="4" max="4"/>
  </cols>
  <sheetData>
    <row r="1">
      <c r="A1" s="2" t="inlineStr">
        <is>
          <t>PRACTICE TASKS</t>
        </is>
      </c>
    </row>
    <row r="2">
      <c r="A2" s="3" t="inlineStr">
        <is>
          <t>Module</t>
        </is>
      </c>
      <c r="B2" s="3" t="inlineStr">
        <is>
          <t>Task_No</t>
        </is>
      </c>
      <c r="C2" s="3" t="inlineStr">
        <is>
          <t>Student_Task</t>
        </is>
      </c>
      <c r="D2" s="3" t="inlineStr">
        <is>
          <t>Expected_Output</t>
        </is>
      </c>
    </row>
    <row r="3">
      <c r="A3" t="inlineStr">
        <is>
          <t>What-If Analysis</t>
        </is>
      </c>
      <c r="B3" t="n">
        <v>1</v>
      </c>
      <c r="C3" t="inlineStr">
        <is>
          <t>Build a 2026 baseline model using the latest month as the starting point.</t>
        </is>
      </c>
      <c r="D3" t="inlineStr">
        <is>
          <t>Linked assumptions and formulas</t>
        </is>
      </c>
    </row>
    <row r="4">
      <c r="A4" t="inlineStr">
        <is>
          <t>What-If Analysis</t>
        </is>
      </c>
      <c r="B4" t="n">
        <v>2</v>
      </c>
      <c r="C4" t="inlineStr">
        <is>
          <t>Calculate projected units using volume growth.</t>
        </is>
      </c>
      <c r="D4" t="inlineStr">
        <is>
          <t>Projected Units</t>
        </is>
      </c>
    </row>
    <row r="5">
      <c r="A5" t="inlineStr">
        <is>
          <t>What-If Analysis</t>
        </is>
      </c>
      <c r="B5" t="n">
        <v>3</v>
      </c>
      <c r="C5" t="inlineStr">
        <is>
          <t>Calculate projected ASP using price growth.</t>
        </is>
      </c>
      <c r="D5" t="inlineStr">
        <is>
          <t>Projected ASP</t>
        </is>
      </c>
    </row>
    <row r="6">
      <c r="A6" t="inlineStr">
        <is>
          <t>What-If Analysis</t>
        </is>
      </c>
      <c r="B6" t="n">
        <v>4</v>
      </c>
      <c r="C6" t="inlineStr">
        <is>
          <t>Calculate projected revenue from units × ASP.</t>
        </is>
      </c>
      <c r="D6" t="inlineStr">
        <is>
          <t>Projected Revenue</t>
        </is>
      </c>
    </row>
    <row r="7">
      <c r="A7" t="inlineStr">
        <is>
          <t>What-If Analysis</t>
        </is>
      </c>
      <c r="B7" t="n">
        <v>5</v>
      </c>
      <c r="C7" t="inlineStr">
        <is>
          <t>Calculate projected operating cost.</t>
        </is>
      </c>
      <c r="D7" t="inlineStr">
        <is>
          <t>Revenue × Cost Ratio</t>
        </is>
      </c>
    </row>
    <row r="8">
      <c r="A8" t="inlineStr">
        <is>
          <t>What-If Analysis</t>
        </is>
      </c>
      <c r="B8" t="n">
        <v>6</v>
      </c>
      <c r="C8" t="inlineStr">
        <is>
          <t>Calculate projected marketing spend.</t>
        </is>
      </c>
      <c r="D8" t="inlineStr">
        <is>
          <t>Base Marketing × (1 + Marketing Growth)</t>
        </is>
      </c>
    </row>
    <row r="9">
      <c r="A9" t="inlineStr">
        <is>
          <t>What-If Analysis</t>
        </is>
      </c>
      <c r="B9" t="n">
        <v>7</v>
      </c>
      <c r="C9" t="inlineStr">
        <is>
          <t>Calculate projected profit and profit margin.</t>
        </is>
      </c>
      <c r="D9" t="inlineStr">
        <is>
          <t>Profit and Margin</t>
        </is>
      </c>
    </row>
    <row r="10">
      <c r="A10" t="inlineStr">
        <is>
          <t>Scenario Manager</t>
        </is>
      </c>
      <c r="B10" t="n">
        <v>8</v>
      </c>
      <c r="C10" t="inlineStr">
        <is>
          <t>Create the Base scenario.</t>
        </is>
      </c>
      <c r="D10" t="inlineStr">
        <is>
          <t>Scenario Manager</t>
        </is>
      </c>
    </row>
    <row r="11">
      <c r="A11" t="inlineStr">
        <is>
          <t>Scenario Manager</t>
        </is>
      </c>
      <c r="B11" t="n">
        <v>9</v>
      </c>
      <c r="C11" t="inlineStr">
        <is>
          <t>Create the Conservative scenario.</t>
        </is>
      </c>
      <c r="D11" t="inlineStr">
        <is>
          <t>Scenario Manager</t>
        </is>
      </c>
    </row>
    <row r="12">
      <c r="A12" t="inlineStr">
        <is>
          <t>Scenario Manager</t>
        </is>
      </c>
      <c r="B12" t="n">
        <v>10</v>
      </c>
      <c r="C12" t="inlineStr">
        <is>
          <t>Create the Growth scenario.</t>
        </is>
      </c>
      <c r="D12" t="inlineStr">
        <is>
          <t>Scenario Manager</t>
        </is>
      </c>
    </row>
    <row r="13">
      <c r="A13" t="inlineStr">
        <is>
          <t>Scenario Manager</t>
        </is>
      </c>
      <c r="B13" t="n">
        <v>11</v>
      </c>
      <c r="C13" t="inlineStr">
        <is>
          <t>Create the Aggressive scenario.</t>
        </is>
      </c>
      <c r="D13" t="inlineStr">
        <is>
          <t>Scenario Manager</t>
        </is>
      </c>
    </row>
    <row r="14">
      <c r="A14" t="inlineStr">
        <is>
          <t>Scenario Manager</t>
        </is>
      </c>
      <c r="B14" t="n">
        <v>12</v>
      </c>
      <c r="C14" t="inlineStr">
        <is>
          <t>Generate a Scenario Summary comparing profit and margin.</t>
        </is>
      </c>
      <c r="D14" t="inlineStr">
        <is>
          <t>Scenario Summary</t>
        </is>
      </c>
    </row>
    <row r="15">
      <c r="A15" t="inlineStr">
        <is>
          <t>Scenario Manager</t>
        </is>
      </c>
      <c r="B15" t="n">
        <v>13</v>
      </c>
      <c r="C15" t="inlineStr">
        <is>
          <t>Identify the highest-profit scenario.</t>
        </is>
      </c>
      <c r="D15" t="inlineStr">
        <is>
          <t>Business interpretation</t>
        </is>
      </c>
    </row>
    <row r="16">
      <c r="A16" t="inlineStr">
        <is>
          <t>Scenario Manager</t>
        </is>
      </c>
      <c r="B16" t="n">
        <v>14</v>
      </c>
      <c r="C16" t="inlineStr">
        <is>
          <t>Identify the best risk-adjusted scenario and justify it.</t>
        </is>
      </c>
      <c r="D16" t="inlineStr">
        <is>
          <t>Recommendation</t>
        </is>
      </c>
    </row>
    <row r="17">
      <c r="A17" t="inlineStr">
        <is>
          <t>Forecasting</t>
        </is>
      </c>
      <c r="B17" t="n">
        <v>15</v>
      </c>
      <c r="C17" t="inlineStr">
        <is>
          <t>Create a monthly sales line chart.</t>
        </is>
      </c>
      <c r="D17" t="inlineStr">
        <is>
          <t>Trend visualization</t>
        </is>
      </c>
    </row>
    <row r="18">
      <c r="A18" t="inlineStr">
        <is>
          <t>Forecasting</t>
        </is>
      </c>
      <c r="B18" t="n">
        <v>16</v>
      </c>
      <c r="C18" t="inlineStr">
        <is>
          <t>Create a 6-month linear forecast.</t>
        </is>
      </c>
      <c r="D18" t="inlineStr">
        <is>
          <t>FORECAST.LINEAR</t>
        </is>
      </c>
    </row>
    <row r="19">
      <c r="A19" t="inlineStr">
        <is>
          <t>Forecasting</t>
        </is>
      </c>
      <c r="B19" t="n">
        <v>17</v>
      </c>
      <c r="C19" t="inlineStr">
        <is>
          <t>Create an Excel Forecast Sheet for the next 6 months.</t>
        </is>
      </c>
      <c r="D19" t="inlineStr">
        <is>
          <t>Forecast Sheet</t>
        </is>
      </c>
    </row>
    <row r="20">
      <c r="A20" t="inlineStr">
        <is>
          <t>Forecasting</t>
        </is>
      </c>
      <c r="B20" t="n">
        <v>18</v>
      </c>
      <c r="C20" t="inlineStr">
        <is>
          <t>Compare forecast with scenario revenue.</t>
        </is>
      </c>
      <c r="D20" t="inlineStr">
        <is>
          <t>Interpretation</t>
        </is>
      </c>
    </row>
    <row r="21">
      <c r="A21" t="inlineStr">
        <is>
          <t>Forecasting</t>
        </is>
      </c>
      <c r="B21" t="n">
        <v>19</v>
      </c>
      <c r="C21" t="inlineStr">
        <is>
          <t>Calculate forecast error for historical months.</t>
        </is>
      </c>
      <c r="D21" t="inlineStr">
        <is>
          <t>Actual − Forecast</t>
        </is>
      </c>
    </row>
    <row r="22">
      <c r="A22" t="inlineStr">
        <is>
          <t>Forecasting</t>
        </is>
      </c>
      <c r="B22" t="n">
        <v>20</v>
      </c>
      <c r="C22" t="inlineStr">
        <is>
          <t>Calculate MAPE where actual and forecast are available.</t>
        </is>
      </c>
      <c r="D22" t="inlineStr">
        <is>
          <t>Forecast accuracy</t>
        </is>
      </c>
    </row>
    <row r="23">
      <c r="A23" t="inlineStr">
        <is>
          <t>Integrated Project</t>
        </is>
      </c>
      <c r="B23" t="n">
        <v>21</v>
      </c>
      <c r="C23" t="inlineStr">
        <is>
          <t>Build a management dashboard with Actual, Forecast, Scenario Revenue and Profit.</t>
        </is>
      </c>
      <c r="D23" t="inlineStr">
        <is>
          <t>Dashboard</t>
        </is>
      </c>
    </row>
    <row r="24">
      <c r="A24" t="inlineStr">
        <is>
          <t>Integrated Project</t>
        </is>
      </c>
      <c r="B24" t="n">
        <v>22</v>
      </c>
      <c r="C24" t="inlineStr">
        <is>
          <t>Recommend a business strategy from the model.</t>
        </is>
      </c>
      <c r="D24" t="inlineStr">
        <is>
          <t>Written recommendation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40" customWidth="1" min="3" max="3"/>
  </cols>
  <sheetData>
    <row r="1">
      <c r="A1" s="2" t="inlineStr">
        <is>
          <t>INSTRUCTOR ANSWER KEY</t>
        </is>
      </c>
    </row>
    <row r="2">
      <c r="A2" s="3" t="inlineStr">
        <is>
          <t>Task</t>
        </is>
      </c>
      <c r="B2" s="3" t="inlineStr">
        <is>
          <t>Location</t>
        </is>
      </c>
      <c r="C2" s="3" t="inlineStr">
        <is>
          <t>Formula / Setup</t>
        </is>
      </c>
    </row>
    <row r="3">
      <c r="A3" t="inlineStr">
        <is>
          <t>Baseline model</t>
        </is>
      </c>
      <c r="B3" t="inlineStr">
        <is>
          <t>What_If_Model!B2:B20</t>
        </is>
      </c>
      <c r="C3" t="inlineStr">
        <is>
          <t>Use formulas linked to assumption cells.</t>
        </is>
      </c>
    </row>
    <row r="4">
      <c r="A4" t="inlineStr">
        <is>
          <t>Scenario Manager</t>
        </is>
      </c>
      <c r="B4" t="inlineStr">
        <is>
          <t>Scenario_Manager_Guide</t>
        </is>
      </c>
      <c r="C4" t="inlineStr">
        <is>
          <t>Changing cells B8:B12; result cells B16:B20.</t>
        </is>
      </c>
    </row>
    <row r="5">
      <c r="A5" t="inlineStr">
        <is>
          <t>Linear forecast</t>
        </is>
      </c>
      <c r="B5" t="inlineStr">
        <is>
          <t>Forecast_Practice!D3:D38</t>
        </is>
      </c>
      <c r="C5">
        <f>FORECAST.LINEAR(TimeIndex,ActualSales,TimeIndexRange)</f>
        <v/>
      </c>
    </row>
    <row r="6">
      <c r="A6" t="inlineStr">
        <is>
          <t>Forecast error</t>
        </is>
      </c>
      <c r="B6" t="inlineStr">
        <is>
          <t>Forecast_Practice!E3:E32</t>
        </is>
      </c>
      <c r="C6">
        <f>Actual-Forecast</f>
        <v/>
      </c>
    </row>
    <row r="7">
      <c r="A7" t="inlineStr">
        <is>
          <t>Absolute % error</t>
        </is>
      </c>
      <c r="B7" t="inlineStr">
        <is>
          <t>Forecast_Practice!F3:F32</t>
        </is>
      </c>
      <c r="C7">
        <f>ABS(Error/Actual)</f>
        <v/>
      </c>
    </row>
    <row r="8">
      <c r="A8" t="inlineStr">
        <is>
          <t>MAPE</t>
        </is>
      </c>
      <c r="B8" t="inlineStr">
        <is>
          <t>Forecast_Practice</t>
        </is>
      </c>
      <c r="C8">
        <f>AVERAGE(F3:F32)</f>
        <v/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2026-08-13T00:33:30Z</dcterms:created>
  <dcterms:modified xmlns:dcterms="http://purl.org/dc/terms/" xmlns:xsi="http://www.w3.org/2001/XMLSchema-instance" xsi:type="dcterms:W3CDTF">2026-08-13T00:33:30Z</dcterms:modified>
</cp:coreProperties>
</file>