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Sales" sheetId="5" state="visible" r:id="rId5"/>
    <sheet xmlns:r="http://schemas.openxmlformats.org/officeDocument/2006/relationships" name="Managers" sheetId="6" state="visible" r:id="rId6"/>
    <sheet xmlns:r="http://schemas.openxmlformats.org/officeDocument/2006/relationships" name="Monthly_Targets" sheetId="7" state="visible" r:id="rId7"/>
    <sheet xmlns:r="http://schemas.openxmlformats.org/officeDocument/2006/relationships" name="Discount_Matrix" sheetId="8" state="visible" r:id="rId8"/>
    <sheet xmlns:r="http://schemas.openxmlformats.org/officeDocument/2006/relationships" name="Suppliers" sheetId="9" state="visible" r:id="rId9"/>
    <sheet xmlns:r="http://schemas.openxmlformats.org/officeDocument/2006/relationships" name="Practice_Tasks" sheetId="10" state="visible" r:id="rId10"/>
    <sheet xmlns:r="http://schemas.openxmlformats.org/officeDocument/2006/relationships" name="Instructor_Answer_Key" sheetId="11" state="hidden" r:id="rId11"/>
    <sheet xmlns:r="http://schemas.openxmlformats.org/officeDocument/2006/relationships" name="Advanced_Practi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-mmm-yyyy"/>
    <numFmt numFmtId="165" formatCode="₹#,##0"/>
    <numFmt numFmtId="166" formatCode="₹#,##0.00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2F75B5"/>
      <sz val="12"/>
    </font>
    <font>
      <b val="1"/>
      <color rgb="00FFFFFF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D9EAF7"/>
      </patternFill>
    </fill>
    <fill>
      <patternFill patternType="solid">
        <fgColor rgb="00F4B183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left/>
      <right/>
      <top/>
      <bottom style="thin">
        <color rgb="00D9E1F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2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5" fillId="0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tblEmployees" displayName="tblEmployees" ref="A1:F13" headerRowCount="1">
  <autoFilter ref="A1:F13"/>
  <tableColumns count="6">
    <tableColumn id="1" name="Employee_ID"/>
    <tableColumn id="2" name="Employee_Name"/>
    <tableColumn id="3" name="Department"/>
    <tableColumn id="4" name="Region"/>
    <tableColumn id="5" name="Manager_ID"/>
    <tableColumn id="6" name="Monthly_Sala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Products" displayName="tblProducts" ref="A1:F11" headerRowCount="1">
  <autoFilter ref="A1:F11"/>
  <tableColumns count="6">
    <tableColumn id="1" name="Product_ID"/>
    <tableColumn id="2" name="Product_Name"/>
    <tableColumn id="3" name="Category"/>
    <tableColumn id="4" name="Price_Band"/>
    <tableColumn id="5" name="Unit_Price"/>
    <tableColumn id="6" name="Stock_Q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Customers" displayName="tblCustomers" ref="A1:E13" headerRowCount="1">
  <autoFilter ref="A1:E13"/>
  <tableColumns count="5">
    <tableColumn id="1" name="Customer_ID"/>
    <tableColumn id="2" name="Customer_Name"/>
    <tableColumn id="3" name="Customer_Segment"/>
    <tableColumn id="4" name="Region"/>
    <tableColumn id="5" name="Account_Manager_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Sales" displayName="tblSales" ref="A1:F19" headerRowCount="1">
  <autoFilter ref="A1:F19"/>
  <tableColumns count="6">
    <tableColumn id="1" name="Order_ID"/>
    <tableColumn id="2" name="Order_Date"/>
    <tableColumn id="3" name="Customer_ID"/>
    <tableColumn id="4" name="Product_ID"/>
    <tableColumn id="5" name="Quantity"/>
    <tableColumn id="6" name="Channe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Managers" displayName="tblManagers" ref="A1:D7" headerRowCount="1">
  <autoFilter ref="A1:D7"/>
  <tableColumns count="4">
    <tableColumn id="1" name="Manager_ID"/>
    <tableColumn id="2" name="Manager_Name"/>
    <tableColumn id="3" name="Role"/>
    <tableColumn id="4" name="Emai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Targets" displayName="tblTargets" ref="A1:M6" headerRowCount="1">
  <autoFilter ref="A1:M6"/>
  <tableColumns count="13">
    <tableColumn id="1" name="0"/>
    <tableColumn id="2" name="1"/>
    <tableColumn id="3" name="2"/>
    <tableColumn id="4" name="3"/>
    <tableColumn id="5" name="4"/>
    <tableColumn id="6" name="5"/>
    <tableColumn id="7" name="6"/>
    <tableColumn id="8" name="7"/>
    <tableColumn id="9" name="8"/>
    <tableColumn id="10" name="9"/>
    <tableColumn id="11" name="10"/>
    <tableColumn id="12" name="11"/>
    <tableColumn id="13" name="1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Discounts" displayName="tblDiscounts" ref="A1:E3" headerRowCount="1">
  <autoFilter ref="A1:E3"/>
  <tableColumns count="5">
    <tableColumn id="1" name="Price_Band"/>
    <tableColumn id="2" name="1-5 Units"/>
    <tableColumn id="3" name="6-10 Units"/>
    <tableColumn id="4" name="11-20 Units"/>
    <tableColumn id="5" name="21+ Uni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Suppliers" displayName="tblSuppliers" ref="A1:D11" headerRowCount="1">
  <autoFilter ref="A1:D11"/>
  <tableColumns count="4">
    <tableColumn id="1" name="Product_ID"/>
    <tableColumn id="2" name="Supplier"/>
    <tableColumn id="3" name="Supplier_City"/>
    <tableColumn id="4" name="Lead_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0" workbookViewId="0">
      <selection activeCell="A1" sqref="A1"/>
    </sheetView>
  </sheetViews>
  <sheetFormatPr baseColWidth="8" defaultRowHeight="15"/>
  <cols>
    <col width="105" customWidth="1" min="1" max="1"/>
  </cols>
  <sheetData>
    <row r="1" ht="35" customHeight="1">
      <c r="A1" s="1" t="inlineStr">
        <is>
          <t>ADVANCED DATA LINKING — STUDENT PRACTICE WORKBOOK</t>
        </is>
      </c>
    </row>
    <row r="2">
      <c r="A2" t="inlineStr"/>
    </row>
    <row r="3">
      <c r="A3" s="2" t="inlineStr">
        <is>
          <t>Learning objectives</t>
        </is>
      </c>
    </row>
    <row r="4">
      <c r="A4" t="inlineStr">
        <is>
          <t>1. Use VLOOKUP to retrieve related values from another table.</t>
        </is>
      </c>
    </row>
    <row r="5">
      <c r="A5" t="inlineStr">
        <is>
          <t>2. Use HLOOKUP to retrieve values from a horizontal table.</t>
        </is>
      </c>
    </row>
    <row r="6">
      <c r="A6" t="inlineStr">
        <is>
          <t>3. Use INDEX + MATCH for flexible two-way and left/right lookups.</t>
        </is>
      </c>
    </row>
    <row r="7">
      <c r="A7" t="inlineStr">
        <is>
          <t>4. Link data between worksheets using IDs.</t>
        </is>
      </c>
    </row>
    <row r="8">
      <c r="A8" t="inlineStr">
        <is>
          <t>5. Combine multiple lookups to enrich a transaction table.</t>
        </is>
      </c>
    </row>
    <row r="9">
      <c r="A9" t="inlineStr">
        <is>
          <t>6. Handle missing matches with IFERROR / IFNA.</t>
        </is>
      </c>
    </row>
    <row r="10">
      <c r="A10" t="inlineStr">
        <is>
          <t>7. Build an advanced lookup workflow using multiple criteria.</t>
        </is>
      </c>
    </row>
    <row r="11">
      <c r="A11" t="inlineStr"/>
    </row>
    <row r="12">
      <c r="A12" s="2" t="inlineStr">
        <is>
          <t>Suggested teaching flow</t>
        </is>
      </c>
    </row>
    <row r="13">
      <c r="A13" t="inlineStr">
        <is>
          <t>Start with Employees and Managers → VLOOKUP.</t>
        </is>
      </c>
    </row>
    <row r="14">
      <c r="A14" t="inlineStr">
        <is>
          <t>Move to Monthly_Targets → HLOOKUP.</t>
        </is>
      </c>
    </row>
    <row r="15">
      <c r="A15" t="inlineStr">
        <is>
          <t>Use Sales + Products + Customers → INDEX-MATCH.</t>
        </is>
      </c>
    </row>
    <row r="16">
      <c r="A16" t="inlineStr">
        <is>
          <t>Finish with Advanced_Practice → chained lookups and error handling.</t>
        </is>
      </c>
    </row>
    <row r="17">
      <c r="A17" t="inlineStr"/>
    </row>
    <row r="18">
      <c r="A18" s="2" t="inlineStr">
        <is>
          <t>Important columns to use as keys</t>
        </is>
      </c>
    </row>
    <row r="19">
      <c r="A19" t="inlineStr">
        <is>
          <t>Employee_ID, Manager_ID, Customer_ID, Product_ID</t>
        </is>
      </c>
    </row>
    <row r="20">
      <c r="A20" t="inlineStr"/>
    </row>
    <row r="21">
      <c r="A21" s="2" t="inlineStr">
        <is>
          <t>Instructor note</t>
        </is>
      </c>
    </row>
    <row r="22">
      <c r="A22" t="inlineStr">
        <is>
          <t>The workbook intentionally contains multiple related tables so students must reason about which key connects which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 ht="28" customHeight="1">
      <c r="A1" s="3" t="inlineStr">
        <is>
          <t>Employee_ID</t>
        </is>
      </c>
      <c r="B1" s="3" t="inlineStr">
        <is>
          <t>Employee_Name</t>
        </is>
      </c>
      <c r="C1" s="3" t="inlineStr">
        <is>
          <t>Department</t>
        </is>
      </c>
      <c r="D1" s="3" t="inlineStr">
        <is>
          <t>Region</t>
        </is>
      </c>
      <c r="E1" s="3" t="inlineStr">
        <is>
          <t>Manager_ID</t>
        </is>
      </c>
      <c r="F1" s="3" t="inlineStr">
        <is>
          <t>Monthly_Salary</t>
        </is>
      </c>
    </row>
    <row r="2">
      <c r="A2" t="inlineStr">
        <is>
          <t>E001</t>
        </is>
      </c>
      <c r="B2" t="inlineStr">
        <is>
          <t>Aarav Sharma</t>
        </is>
      </c>
      <c r="C2" t="inlineStr">
        <is>
          <t>Sales</t>
        </is>
      </c>
      <c r="D2" t="inlineStr">
        <is>
          <t>North</t>
        </is>
      </c>
      <c r="E2" t="inlineStr">
        <is>
          <t>M001</t>
        </is>
      </c>
      <c r="F2" s="4" t="n">
        <v>58000</v>
      </c>
    </row>
    <row r="3">
      <c r="A3" t="inlineStr">
        <is>
          <t>E002</t>
        </is>
      </c>
      <c r="B3" t="inlineStr">
        <is>
          <t>Diya Patel</t>
        </is>
      </c>
      <c r="C3" t="inlineStr">
        <is>
          <t>Sales</t>
        </is>
      </c>
      <c r="D3" t="inlineStr">
        <is>
          <t>West</t>
        </is>
      </c>
      <c r="E3" t="inlineStr">
        <is>
          <t>M002</t>
        </is>
      </c>
      <c r="F3" s="4" t="n">
        <v>61000</v>
      </c>
    </row>
    <row r="4">
      <c r="A4" t="inlineStr">
        <is>
          <t>E003</t>
        </is>
      </c>
      <c r="B4" t="inlineStr">
        <is>
          <t>Kabir Verma</t>
        </is>
      </c>
      <c r="C4" t="inlineStr">
        <is>
          <t>Operations</t>
        </is>
      </c>
      <c r="D4" t="inlineStr">
        <is>
          <t>North</t>
        </is>
      </c>
      <c r="E4" t="inlineStr">
        <is>
          <t>M003</t>
        </is>
      </c>
      <c r="F4" s="4" t="n">
        <v>54000</v>
      </c>
    </row>
    <row r="5">
      <c r="A5" t="inlineStr">
        <is>
          <t>E004</t>
        </is>
      </c>
      <c r="B5" t="inlineStr">
        <is>
          <t>Ananya Singh</t>
        </is>
      </c>
      <c r="C5" t="inlineStr">
        <is>
          <t>Finance</t>
        </is>
      </c>
      <c r="D5" t="inlineStr">
        <is>
          <t>Central</t>
        </is>
      </c>
      <c r="E5" t="inlineStr">
        <is>
          <t>M004</t>
        </is>
      </c>
      <c r="F5" s="4" t="n">
        <v>72000</v>
      </c>
    </row>
    <row r="6">
      <c r="A6" t="inlineStr">
        <is>
          <t>E005</t>
        </is>
      </c>
      <c r="B6" t="inlineStr">
        <is>
          <t>Rohan Mehta</t>
        </is>
      </c>
      <c r="C6" t="inlineStr">
        <is>
          <t>IT</t>
        </is>
      </c>
      <c r="D6" t="inlineStr">
        <is>
          <t>West</t>
        </is>
      </c>
      <c r="E6" t="inlineStr">
        <is>
          <t>M005</t>
        </is>
      </c>
      <c r="F6" s="4" t="n">
        <v>68000</v>
      </c>
    </row>
    <row r="7">
      <c r="A7" t="inlineStr">
        <is>
          <t>E006</t>
        </is>
      </c>
      <c r="B7" t="inlineStr">
        <is>
          <t>Ishita Jain</t>
        </is>
      </c>
      <c r="C7" t="inlineStr">
        <is>
          <t>Marketing</t>
        </is>
      </c>
      <c r="D7" t="inlineStr">
        <is>
          <t>South</t>
        </is>
      </c>
      <c r="E7" t="inlineStr">
        <is>
          <t>M006</t>
        </is>
      </c>
      <c r="F7" s="4" t="n">
        <v>59000</v>
      </c>
    </row>
    <row r="8">
      <c r="A8" t="inlineStr">
        <is>
          <t>E007</t>
        </is>
      </c>
      <c r="B8" t="inlineStr">
        <is>
          <t>Vivaan Gupta</t>
        </is>
      </c>
      <c r="C8" t="inlineStr">
        <is>
          <t>Sales</t>
        </is>
      </c>
      <c r="D8" t="inlineStr">
        <is>
          <t>Central</t>
        </is>
      </c>
      <c r="E8" t="inlineStr">
        <is>
          <t>M001</t>
        </is>
      </c>
      <c r="F8" s="4" t="n">
        <v>56000</v>
      </c>
    </row>
    <row r="9">
      <c r="A9" t="inlineStr">
        <is>
          <t>E008</t>
        </is>
      </c>
      <c r="B9" t="inlineStr">
        <is>
          <t>Meera Rao</t>
        </is>
      </c>
      <c r="C9" t="inlineStr">
        <is>
          <t>Operations</t>
        </is>
      </c>
      <c r="D9" t="inlineStr">
        <is>
          <t>South</t>
        </is>
      </c>
      <c r="E9" t="inlineStr">
        <is>
          <t>M003</t>
        </is>
      </c>
      <c r="F9" s="4" t="n">
        <v>52500</v>
      </c>
    </row>
    <row r="10">
      <c r="A10" t="inlineStr">
        <is>
          <t>E009</t>
        </is>
      </c>
      <c r="B10" t="inlineStr">
        <is>
          <t>Arjun Nair</t>
        </is>
      </c>
      <c r="C10" t="inlineStr">
        <is>
          <t>IT</t>
        </is>
      </c>
      <c r="D10" t="inlineStr">
        <is>
          <t>North</t>
        </is>
      </c>
      <c r="E10" t="inlineStr">
        <is>
          <t>M005</t>
        </is>
      </c>
      <c r="F10" s="4" t="n">
        <v>71000</v>
      </c>
    </row>
    <row r="11">
      <c r="A11" t="inlineStr">
        <is>
          <t>E010</t>
        </is>
      </c>
      <c r="B11" t="inlineStr">
        <is>
          <t>Sara Khan</t>
        </is>
      </c>
      <c r="C11" t="inlineStr">
        <is>
          <t>Finance</t>
        </is>
      </c>
      <c r="D11" t="inlineStr">
        <is>
          <t>West</t>
        </is>
      </c>
      <c r="E11" t="inlineStr">
        <is>
          <t>M004</t>
        </is>
      </c>
      <c r="F11" s="4" t="n">
        <v>75000</v>
      </c>
    </row>
    <row r="12">
      <c r="A12" t="inlineStr">
        <is>
          <t>E011</t>
        </is>
      </c>
      <c r="B12" t="inlineStr">
        <is>
          <t>Aditya Joshi</t>
        </is>
      </c>
      <c r="C12" t="inlineStr">
        <is>
          <t>Marketing</t>
        </is>
      </c>
      <c r="D12" t="inlineStr">
        <is>
          <t>Central</t>
        </is>
      </c>
      <c r="E12" t="inlineStr">
        <is>
          <t>M006</t>
        </is>
      </c>
      <c r="F12" s="4" t="n">
        <v>60500</v>
      </c>
    </row>
    <row r="13">
      <c r="A13" t="inlineStr">
        <is>
          <t>E012</t>
        </is>
      </c>
      <c r="B13" t="inlineStr">
        <is>
          <t>Kavya Iyer</t>
        </is>
      </c>
      <c r="C13" t="inlineStr">
        <is>
          <t>Sales</t>
        </is>
      </c>
      <c r="D13" t="inlineStr">
        <is>
          <t>South</t>
        </is>
      </c>
      <c r="E13" t="inlineStr">
        <is>
          <t>M002</t>
        </is>
      </c>
      <c r="F13" s="4" t="n">
        <v>63000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3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3" t="inlineStr">
        <is>
          <t>Product_ID</t>
        </is>
      </c>
      <c r="B1" s="3" t="inlineStr">
        <is>
          <t>Product_Name</t>
        </is>
      </c>
      <c r="C1" s="3" t="inlineStr">
        <is>
          <t>Category</t>
        </is>
      </c>
      <c r="D1" s="3" t="inlineStr">
        <is>
          <t>Price_Band</t>
        </is>
      </c>
      <c r="E1" s="3" t="inlineStr">
        <is>
          <t>Unit_Price</t>
        </is>
      </c>
      <c r="F1" s="3" t="inlineStr">
        <is>
          <t>Stock_Qty</t>
        </is>
      </c>
    </row>
    <row r="2">
      <c r="A2" t="inlineStr">
        <is>
          <t>P101</t>
        </is>
      </c>
      <c r="B2" t="inlineStr">
        <is>
          <t>Laptop Pro 14</t>
        </is>
      </c>
      <c r="C2" t="inlineStr">
        <is>
          <t>Electronics</t>
        </is>
      </c>
      <c r="D2" t="inlineStr">
        <is>
          <t>Premium</t>
        </is>
      </c>
      <c r="E2" s="5" t="n">
        <v>79999</v>
      </c>
      <c r="F2" t="n">
        <v>125</v>
      </c>
    </row>
    <row r="3">
      <c r="A3" t="inlineStr">
        <is>
          <t>P102</t>
        </is>
      </c>
      <c r="B3" t="inlineStr">
        <is>
          <t>Laptop Air 13</t>
        </is>
      </c>
      <c r="C3" t="inlineStr">
        <is>
          <t>Electronics</t>
        </is>
      </c>
      <c r="D3" t="inlineStr">
        <is>
          <t>Standard</t>
        </is>
      </c>
      <c r="E3" s="5" t="n">
        <v>62999</v>
      </c>
      <c r="F3" t="n">
        <v>180</v>
      </c>
    </row>
    <row r="4">
      <c r="A4" t="inlineStr">
        <is>
          <t>P103</t>
        </is>
      </c>
      <c r="B4" t="inlineStr">
        <is>
          <t>Wireless Mouse</t>
        </is>
      </c>
      <c r="C4" t="inlineStr">
        <is>
          <t>Accessories</t>
        </is>
      </c>
      <c r="D4" t="inlineStr">
        <is>
          <t>Standard</t>
        </is>
      </c>
      <c r="E4" s="5" t="n">
        <v>1499</v>
      </c>
      <c r="F4" t="n">
        <v>420</v>
      </c>
    </row>
    <row r="5">
      <c r="A5" t="inlineStr">
        <is>
          <t>P104</t>
        </is>
      </c>
      <c r="B5" t="inlineStr">
        <is>
          <t>Mechanical Keyboard</t>
        </is>
      </c>
      <c r="C5" t="inlineStr">
        <is>
          <t>Accessories</t>
        </is>
      </c>
      <c r="D5" t="inlineStr">
        <is>
          <t>Premium</t>
        </is>
      </c>
      <c r="E5" s="5" t="n">
        <v>5499</v>
      </c>
      <c r="F5" t="n">
        <v>210</v>
      </c>
    </row>
    <row r="6">
      <c r="A6" t="inlineStr">
        <is>
          <t>P105</t>
        </is>
      </c>
      <c r="B6" t="inlineStr">
        <is>
          <t>27-inch Monitor</t>
        </is>
      </c>
      <c r="C6" t="inlineStr">
        <is>
          <t>Electronics</t>
        </is>
      </c>
      <c r="D6" t="inlineStr">
        <is>
          <t>Premium</t>
        </is>
      </c>
      <c r="E6" s="5" t="n">
        <v>22999</v>
      </c>
      <c r="F6" t="n">
        <v>95</v>
      </c>
    </row>
    <row r="7">
      <c r="A7" t="inlineStr">
        <is>
          <t>P106</t>
        </is>
      </c>
      <c r="B7" t="inlineStr">
        <is>
          <t>USB-C Hub</t>
        </is>
      </c>
      <c r="C7" t="inlineStr">
        <is>
          <t>Accessories</t>
        </is>
      </c>
      <c r="D7" t="inlineStr">
        <is>
          <t>Standard</t>
        </is>
      </c>
      <c r="E7" s="5" t="n">
        <v>2499</v>
      </c>
      <c r="F7" t="n">
        <v>300</v>
      </c>
    </row>
    <row r="8">
      <c r="A8" t="inlineStr">
        <is>
          <t>P107</t>
        </is>
      </c>
      <c r="B8" t="inlineStr">
        <is>
          <t>Noise Cancelling Headphones</t>
        </is>
      </c>
      <c r="C8" t="inlineStr">
        <is>
          <t>Audio</t>
        </is>
      </c>
      <c r="D8" t="inlineStr">
        <is>
          <t>Premium</t>
        </is>
      </c>
      <c r="E8" s="5" t="n">
        <v>12999</v>
      </c>
      <c r="F8" t="n">
        <v>140</v>
      </c>
    </row>
    <row r="9">
      <c r="A9" t="inlineStr">
        <is>
          <t>P108</t>
        </is>
      </c>
      <c r="B9" t="inlineStr">
        <is>
          <t>Bluetooth Speaker</t>
        </is>
      </c>
      <c r="C9" t="inlineStr">
        <is>
          <t>Audio</t>
        </is>
      </c>
      <c r="D9" t="inlineStr">
        <is>
          <t>Standard</t>
        </is>
      </c>
      <c r="E9" s="5" t="n">
        <v>4999</v>
      </c>
      <c r="F9" t="n">
        <v>260</v>
      </c>
    </row>
    <row r="10">
      <c r="A10" t="inlineStr">
        <is>
          <t>P109</t>
        </is>
      </c>
      <c r="B10" t="inlineStr">
        <is>
          <t>Webcam HD</t>
        </is>
      </c>
      <c r="C10" t="inlineStr">
        <is>
          <t>Accessories</t>
        </is>
      </c>
      <c r="D10" t="inlineStr">
        <is>
          <t>Standard</t>
        </is>
      </c>
      <c r="E10" s="5" t="n">
        <v>3499</v>
      </c>
      <c r="F10" t="n">
        <v>175</v>
      </c>
    </row>
    <row r="11">
      <c r="A11" t="inlineStr">
        <is>
          <t>P110</t>
        </is>
      </c>
      <c r="B11" t="inlineStr">
        <is>
          <t>Tablet 10</t>
        </is>
      </c>
      <c r="C11" t="inlineStr">
        <is>
          <t>Electronics</t>
        </is>
      </c>
      <c r="D11" t="inlineStr">
        <is>
          <t>Standard</t>
        </is>
      </c>
      <c r="E11" s="5" t="n">
        <v>21999</v>
      </c>
      <c r="F11" t="n">
        <v>115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8" customWidth="1" min="3" max="3"/>
    <col width="12" customWidth="1" min="4" max="4"/>
    <col width="20" customWidth="1" min="5" max="5"/>
  </cols>
  <sheetData>
    <row r="1" ht="28" customHeight="1">
      <c r="A1" s="3" t="inlineStr">
        <is>
          <t>Customer_ID</t>
        </is>
      </c>
      <c r="B1" s="3" t="inlineStr">
        <is>
          <t>Customer_Name</t>
        </is>
      </c>
      <c r="C1" s="3" t="inlineStr">
        <is>
          <t>Customer_Segment</t>
        </is>
      </c>
      <c r="D1" s="3" t="inlineStr">
        <is>
          <t>Region</t>
        </is>
      </c>
      <c r="E1" s="3" t="inlineStr">
        <is>
          <t>Account_Manager_ID</t>
        </is>
      </c>
    </row>
    <row r="2">
      <c r="A2" t="inlineStr">
        <is>
          <t>C001</t>
        </is>
      </c>
      <c r="B2" t="inlineStr">
        <is>
          <t>Northstar Pvt Ltd</t>
        </is>
      </c>
      <c r="C2" t="inlineStr">
        <is>
          <t>Enterprise</t>
        </is>
      </c>
      <c r="D2" t="inlineStr">
        <is>
          <t>North</t>
        </is>
      </c>
      <c r="E2" t="inlineStr">
        <is>
          <t>E001</t>
        </is>
      </c>
    </row>
    <row r="3">
      <c r="A3" t="inlineStr">
        <is>
          <t>C002</t>
        </is>
      </c>
      <c r="B3" t="inlineStr">
        <is>
          <t>Bluewave Retail</t>
        </is>
      </c>
      <c r="C3" t="inlineStr">
        <is>
          <t>SMB</t>
        </is>
      </c>
      <c r="D3" t="inlineStr">
        <is>
          <t>West</t>
        </is>
      </c>
      <c r="E3" t="inlineStr">
        <is>
          <t>E002</t>
        </is>
      </c>
    </row>
    <row r="4">
      <c r="A4" t="inlineStr">
        <is>
          <t>C003</t>
        </is>
      </c>
      <c r="B4" t="inlineStr">
        <is>
          <t>Greenfield School</t>
        </is>
      </c>
      <c r="C4" t="inlineStr">
        <is>
          <t>Education</t>
        </is>
      </c>
      <c r="D4" t="inlineStr">
        <is>
          <t>North</t>
        </is>
      </c>
      <c r="E4" t="inlineStr">
        <is>
          <t>E003</t>
        </is>
      </c>
    </row>
    <row r="5">
      <c r="A5" t="inlineStr">
        <is>
          <t>C004</t>
        </is>
      </c>
      <c r="B5" t="inlineStr">
        <is>
          <t>Apex Finance</t>
        </is>
      </c>
      <c r="C5" t="inlineStr">
        <is>
          <t>Enterprise</t>
        </is>
      </c>
      <c r="D5" t="inlineStr">
        <is>
          <t>Central</t>
        </is>
      </c>
      <c r="E5" t="inlineStr">
        <is>
          <t>E004</t>
        </is>
      </c>
    </row>
    <row r="6">
      <c r="A6" t="inlineStr">
        <is>
          <t>C005</t>
        </is>
      </c>
      <c r="B6" t="inlineStr">
        <is>
          <t>Orbit Solutions</t>
        </is>
      </c>
      <c r="C6" t="inlineStr">
        <is>
          <t>SMB</t>
        </is>
      </c>
      <c r="D6" t="inlineStr">
        <is>
          <t>West</t>
        </is>
      </c>
      <c r="E6" t="inlineStr">
        <is>
          <t>E005</t>
        </is>
      </c>
    </row>
    <row r="7">
      <c r="A7" t="inlineStr">
        <is>
          <t>C006</t>
        </is>
      </c>
      <c r="B7" t="inlineStr">
        <is>
          <t>Sunrise Media</t>
        </is>
      </c>
      <c r="C7" t="inlineStr">
        <is>
          <t>SMB</t>
        </is>
      </c>
      <c r="D7" t="inlineStr">
        <is>
          <t>South</t>
        </is>
      </c>
      <c r="E7" t="inlineStr">
        <is>
          <t>E006</t>
        </is>
      </c>
    </row>
    <row r="8">
      <c r="A8" t="inlineStr">
        <is>
          <t>C007</t>
        </is>
      </c>
      <c r="B8" t="inlineStr">
        <is>
          <t>Metro Stores</t>
        </is>
      </c>
      <c r="C8" t="inlineStr">
        <is>
          <t>Enterprise</t>
        </is>
      </c>
      <c r="D8" t="inlineStr">
        <is>
          <t>Central</t>
        </is>
      </c>
      <c r="E8" t="inlineStr">
        <is>
          <t>E007</t>
        </is>
      </c>
    </row>
    <row r="9">
      <c r="A9" t="inlineStr">
        <is>
          <t>C008</t>
        </is>
      </c>
      <c r="B9" t="inlineStr">
        <is>
          <t>Riverdale College</t>
        </is>
      </c>
      <c r="C9" t="inlineStr">
        <is>
          <t>Education</t>
        </is>
      </c>
      <c r="D9" t="inlineStr">
        <is>
          <t>South</t>
        </is>
      </c>
      <c r="E9" t="inlineStr">
        <is>
          <t>E008</t>
        </is>
      </c>
    </row>
    <row r="10">
      <c r="A10" t="inlineStr">
        <is>
          <t>C009</t>
        </is>
      </c>
      <c r="B10" t="inlineStr">
        <is>
          <t>TechNova Labs</t>
        </is>
      </c>
      <c r="C10" t="inlineStr">
        <is>
          <t>Enterprise</t>
        </is>
      </c>
      <c r="D10" t="inlineStr">
        <is>
          <t>North</t>
        </is>
      </c>
      <c r="E10" t="inlineStr">
        <is>
          <t>E009</t>
        </is>
      </c>
    </row>
    <row r="11">
      <c r="A11" t="inlineStr">
        <is>
          <t>C010</t>
        </is>
      </c>
      <c r="B11" t="inlineStr">
        <is>
          <t>Silverline Traders</t>
        </is>
      </c>
      <c r="C11" t="inlineStr">
        <is>
          <t>SMB</t>
        </is>
      </c>
      <c r="D11" t="inlineStr">
        <is>
          <t>West</t>
        </is>
      </c>
      <c r="E11" t="inlineStr">
        <is>
          <t>E010</t>
        </is>
      </c>
    </row>
    <row r="12">
      <c r="A12" t="inlineStr">
        <is>
          <t>C011</t>
        </is>
      </c>
      <c r="B12" t="inlineStr">
        <is>
          <t>Bright Future Academy</t>
        </is>
      </c>
      <c r="C12" t="inlineStr">
        <is>
          <t>Education</t>
        </is>
      </c>
      <c r="D12" t="inlineStr">
        <is>
          <t>Central</t>
        </is>
      </c>
      <c r="E12" t="inlineStr">
        <is>
          <t>E011</t>
        </is>
      </c>
    </row>
    <row r="13">
      <c r="A13" t="inlineStr">
        <is>
          <t>C012</t>
        </is>
      </c>
      <c r="B13" t="inlineStr">
        <is>
          <t>Coastal Ventures</t>
        </is>
      </c>
      <c r="C13" t="inlineStr">
        <is>
          <t>SMB</t>
        </is>
      </c>
      <c r="D13" t="inlineStr">
        <is>
          <t>South</t>
        </is>
      </c>
      <c r="E13" t="inlineStr">
        <is>
          <t>E012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3" t="inlineStr">
        <is>
          <t>Order_ID</t>
        </is>
      </c>
      <c r="B1" s="3" t="inlineStr">
        <is>
          <t>Order_Date</t>
        </is>
      </c>
      <c r="C1" s="3" t="inlineStr">
        <is>
          <t>Customer_ID</t>
        </is>
      </c>
      <c r="D1" s="3" t="inlineStr">
        <is>
          <t>Product_ID</t>
        </is>
      </c>
      <c r="E1" s="3" t="inlineStr">
        <is>
          <t>Quantity</t>
        </is>
      </c>
      <c r="F1" s="3" t="inlineStr">
        <is>
          <t>Channel</t>
        </is>
      </c>
    </row>
    <row r="2">
      <c r="A2" t="inlineStr">
        <is>
          <t>O1001</t>
        </is>
      </c>
      <c r="B2" s="6" t="inlineStr">
        <is>
          <t>2026-07-01</t>
        </is>
      </c>
      <c r="C2" t="inlineStr">
        <is>
          <t>C001</t>
        </is>
      </c>
      <c r="D2" t="inlineStr">
        <is>
          <t>P101</t>
        </is>
      </c>
      <c r="E2" t="n">
        <v>2</v>
      </c>
      <c r="F2" t="inlineStr">
        <is>
          <t>Online</t>
        </is>
      </c>
    </row>
    <row r="3">
      <c r="A3" t="inlineStr">
        <is>
          <t>O1002</t>
        </is>
      </c>
      <c r="B3" s="6" t="inlineStr">
        <is>
          <t>2026-07-02</t>
        </is>
      </c>
      <c r="C3" t="inlineStr">
        <is>
          <t>C002</t>
        </is>
      </c>
      <c r="D3" t="inlineStr">
        <is>
          <t>P103</t>
        </is>
      </c>
      <c r="E3" t="n">
        <v>8</v>
      </c>
      <c r="F3" t="inlineStr">
        <is>
          <t>Retail</t>
        </is>
      </c>
    </row>
    <row r="4">
      <c r="A4" t="inlineStr">
        <is>
          <t>O1003</t>
        </is>
      </c>
      <c r="B4" s="6" t="inlineStr">
        <is>
          <t>2026-07-03</t>
        </is>
      </c>
      <c r="C4" t="inlineStr">
        <is>
          <t>C003</t>
        </is>
      </c>
      <c r="D4" t="inlineStr">
        <is>
          <t>P105</t>
        </is>
      </c>
      <c r="E4" t="n">
        <v>3</v>
      </c>
      <c r="F4" t="inlineStr">
        <is>
          <t>Online</t>
        </is>
      </c>
    </row>
    <row r="5">
      <c r="A5" t="inlineStr">
        <is>
          <t>O1004</t>
        </is>
      </c>
      <c r="B5" s="6" t="inlineStr">
        <is>
          <t>2026-07-05</t>
        </is>
      </c>
      <c r="C5" t="inlineStr">
        <is>
          <t>C004</t>
        </is>
      </c>
      <c r="D5" t="inlineStr">
        <is>
          <t>P107</t>
        </is>
      </c>
      <c r="E5" t="n">
        <v>5</v>
      </c>
      <c r="F5" t="inlineStr">
        <is>
          <t>Direct</t>
        </is>
      </c>
    </row>
    <row r="6">
      <c r="A6" t="inlineStr">
        <is>
          <t>O1005</t>
        </is>
      </c>
      <c r="B6" s="6" t="inlineStr">
        <is>
          <t>2026-07-06</t>
        </is>
      </c>
      <c r="C6" t="inlineStr">
        <is>
          <t>C005</t>
        </is>
      </c>
      <c r="D6" t="inlineStr">
        <is>
          <t>P104</t>
        </is>
      </c>
      <c r="E6" t="n">
        <v>4</v>
      </c>
      <c r="F6" t="inlineStr">
        <is>
          <t>Retail</t>
        </is>
      </c>
    </row>
    <row r="7">
      <c r="A7" t="inlineStr">
        <is>
          <t>O1006</t>
        </is>
      </c>
      <c r="B7" s="6" t="inlineStr">
        <is>
          <t>2026-07-08</t>
        </is>
      </c>
      <c r="C7" t="inlineStr">
        <is>
          <t>C006</t>
        </is>
      </c>
      <c r="D7" t="inlineStr">
        <is>
          <t>P108</t>
        </is>
      </c>
      <c r="E7" t="n">
        <v>7</v>
      </c>
      <c r="F7" t="inlineStr">
        <is>
          <t>Online</t>
        </is>
      </c>
    </row>
    <row r="8">
      <c r="A8" t="inlineStr">
        <is>
          <t>O1007</t>
        </is>
      </c>
      <c r="B8" s="6" t="inlineStr">
        <is>
          <t>2026-07-10</t>
        </is>
      </c>
      <c r="C8" t="inlineStr">
        <is>
          <t>C007</t>
        </is>
      </c>
      <c r="D8" t="inlineStr">
        <is>
          <t>P102</t>
        </is>
      </c>
      <c r="E8" t="n">
        <v>6</v>
      </c>
      <c r="F8" t="inlineStr">
        <is>
          <t>Direct</t>
        </is>
      </c>
    </row>
    <row r="9">
      <c r="A9" t="inlineStr">
        <is>
          <t>O1008</t>
        </is>
      </c>
      <c r="B9" s="6" t="inlineStr">
        <is>
          <t>2026-07-11</t>
        </is>
      </c>
      <c r="C9" t="inlineStr">
        <is>
          <t>C008</t>
        </is>
      </c>
      <c r="D9" t="inlineStr">
        <is>
          <t>P109</t>
        </is>
      </c>
      <c r="E9" t="n">
        <v>9</v>
      </c>
      <c r="F9" t="inlineStr">
        <is>
          <t>Online</t>
        </is>
      </c>
    </row>
    <row r="10">
      <c r="A10" t="inlineStr">
        <is>
          <t>O1009</t>
        </is>
      </c>
      <c r="B10" s="6" t="inlineStr">
        <is>
          <t>2026-07-13</t>
        </is>
      </c>
      <c r="C10" t="inlineStr">
        <is>
          <t>C009</t>
        </is>
      </c>
      <c r="D10" t="inlineStr">
        <is>
          <t>P106</t>
        </is>
      </c>
      <c r="E10" t="n">
        <v>12</v>
      </c>
      <c r="F10" t="inlineStr">
        <is>
          <t>Direct</t>
        </is>
      </c>
    </row>
    <row r="11">
      <c r="A11" t="inlineStr">
        <is>
          <t>O1010</t>
        </is>
      </c>
      <c r="B11" s="6" t="inlineStr">
        <is>
          <t>2026-07-15</t>
        </is>
      </c>
      <c r="C11" t="inlineStr">
        <is>
          <t>C010</t>
        </is>
      </c>
      <c r="D11" t="inlineStr">
        <is>
          <t>P110</t>
        </is>
      </c>
      <c r="E11" t="n">
        <v>3</v>
      </c>
      <c r="F11" t="inlineStr">
        <is>
          <t>Retail</t>
        </is>
      </c>
    </row>
    <row r="12">
      <c r="A12" t="inlineStr">
        <is>
          <t>O1011</t>
        </is>
      </c>
      <c r="B12" s="6" t="inlineStr">
        <is>
          <t>2026-07-17</t>
        </is>
      </c>
      <c r="C12" t="inlineStr">
        <is>
          <t>C011</t>
        </is>
      </c>
      <c r="D12" t="inlineStr">
        <is>
          <t>P103</t>
        </is>
      </c>
      <c r="E12" t="n">
        <v>15</v>
      </c>
      <c r="F12" t="inlineStr">
        <is>
          <t>Online</t>
        </is>
      </c>
    </row>
    <row r="13">
      <c r="A13" t="inlineStr">
        <is>
          <t>O1012</t>
        </is>
      </c>
      <c r="B13" s="6" t="inlineStr">
        <is>
          <t>2026-07-18</t>
        </is>
      </c>
      <c r="C13" t="inlineStr">
        <is>
          <t>C012</t>
        </is>
      </c>
      <c r="D13" t="inlineStr">
        <is>
          <t>P107</t>
        </is>
      </c>
      <c r="E13" t="n">
        <v>2</v>
      </c>
      <c r="F13" t="inlineStr">
        <is>
          <t>Direct</t>
        </is>
      </c>
    </row>
    <row r="14">
      <c r="A14" t="inlineStr">
        <is>
          <t>O1013</t>
        </is>
      </c>
      <c r="B14" s="6" t="inlineStr">
        <is>
          <t>2026-07-20</t>
        </is>
      </c>
      <c r="C14" t="inlineStr">
        <is>
          <t>C001</t>
        </is>
      </c>
      <c r="D14" t="inlineStr">
        <is>
          <t>P104</t>
        </is>
      </c>
      <c r="E14" t="n">
        <v>5</v>
      </c>
      <c r="F14" t="inlineStr">
        <is>
          <t>Online</t>
        </is>
      </c>
    </row>
    <row r="15">
      <c r="A15" t="inlineStr">
        <is>
          <t>O1014</t>
        </is>
      </c>
      <c r="B15" s="6" t="inlineStr">
        <is>
          <t>2026-07-21</t>
        </is>
      </c>
      <c r="C15" t="inlineStr">
        <is>
          <t>C005</t>
        </is>
      </c>
      <c r="D15" t="inlineStr">
        <is>
          <t>P108</t>
        </is>
      </c>
      <c r="E15" t="n">
        <v>10</v>
      </c>
      <c r="F15" t="inlineStr">
        <is>
          <t>Retail</t>
        </is>
      </c>
    </row>
    <row r="16">
      <c r="A16" t="inlineStr">
        <is>
          <t>O1015</t>
        </is>
      </c>
      <c r="B16" s="6" t="inlineStr">
        <is>
          <t>2026-07-23</t>
        </is>
      </c>
      <c r="C16" t="inlineStr">
        <is>
          <t>C009</t>
        </is>
      </c>
      <c r="D16" t="inlineStr">
        <is>
          <t>P101</t>
        </is>
      </c>
      <c r="E16" t="n">
        <v>1</v>
      </c>
      <c r="F16" t="inlineStr">
        <is>
          <t>Direct</t>
        </is>
      </c>
    </row>
    <row r="17">
      <c r="A17" t="inlineStr">
        <is>
          <t>O1016</t>
        </is>
      </c>
      <c r="B17" s="6" t="inlineStr">
        <is>
          <t>2026-07-25</t>
        </is>
      </c>
      <c r="C17" t="inlineStr">
        <is>
          <t>C003</t>
        </is>
      </c>
      <c r="D17" t="inlineStr">
        <is>
          <t>P102</t>
        </is>
      </c>
      <c r="E17" t="n">
        <v>4</v>
      </c>
      <c r="F17" t="inlineStr">
        <is>
          <t>Online</t>
        </is>
      </c>
    </row>
    <row r="18">
      <c r="A18" t="inlineStr">
        <is>
          <t>O1017</t>
        </is>
      </c>
      <c r="B18" s="6" t="inlineStr">
        <is>
          <t>2026-07-27</t>
        </is>
      </c>
      <c r="C18" t="inlineStr">
        <is>
          <t>C007</t>
        </is>
      </c>
      <c r="D18" t="inlineStr">
        <is>
          <t>P105</t>
        </is>
      </c>
      <c r="E18" t="n">
        <v>2</v>
      </c>
      <c r="F18" t="inlineStr">
        <is>
          <t>Direct</t>
        </is>
      </c>
    </row>
    <row r="19">
      <c r="A19" t="inlineStr">
        <is>
          <t>O1018</t>
        </is>
      </c>
      <c r="B19" s="6" t="inlineStr">
        <is>
          <t>2026-07-29</t>
        </is>
      </c>
      <c r="C19" t="inlineStr">
        <is>
          <t>C011</t>
        </is>
      </c>
      <c r="D19" t="inlineStr">
        <is>
          <t>P109</t>
        </is>
      </c>
      <c r="E19" t="n">
        <v>6</v>
      </c>
      <c r="F19" t="inlineStr">
        <is>
          <t>Online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20" customWidth="1" min="4" max="4"/>
  </cols>
  <sheetData>
    <row r="1" ht="28" customHeight="1">
      <c r="A1" s="3" t="inlineStr">
        <is>
          <t>Manager_ID</t>
        </is>
      </c>
      <c r="B1" s="3" t="inlineStr">
        <is>
          <t>Manager_Name</t>
        </is>
      </c>
      <c r="C1" s="3" t="inlineStr">
        <is>
          <t>Role</t>
        </is>
      </c>
      <c r="D1" s="3" t="inlineStr">
        <is>
          <t>Email</t>
        </is>
      </c>
    </row>
    <row r="2">
      <c r="A2" t="inlineStr">
        <is>
          <t>M001</t>
        </is>
      </c>
      <c r="B2" t="inlineStr">
        <is>
          <t>Neha Kapoor</t>
        </is>
      </c>
      <c r="C2" t="inlineStr">
        <is>
          <t>Sales Director</t>
        </is>
      </c>
      <c r="D2" t="inlineStr">
        <is>
          <t>neha@company.com</t>
        </is>
      </c>
    </row>
    <row r="3">
      <c r="A3" t="inlineStr">
        <is>
          <t>M002</t>
        </is>
      </c>
      <c r="B3" t="inlineStr">
        <is>
          <t>Rahul Malhotra</t>
        </is>
      </c>
      <c r="C3" t="inlineStr">
        <is>
          <t>Sales Manager</t>
        </is>
      </c>
      <c r="D3" t="inlineStr">
        <is>
          <t>rahul@company.com</t>
        </is>
      </c>
    </row>
    <row r="4">
      <c r="A4" t="inlineStr">
        <is>
          <t>M003</t>
        </is>
      </c>
      <c r="B4" t="inlineStr">
        <is>
          <t>Priya Desai</t>
        </is>
      </c>
      <c r="C4" t="inlineStr">
        <is>
          <t>Operations Manager</t>
        </is>
      </c>
      <c r="D4" t="inlineStr">
        <is>
          <t>priya@company.com</t>
        </is>
      </c>
    </row>
    <row r="5">
      <c r="A5" t="inlineStr">
        <is>
          <t>M004</t>
        </is>
      </c>
      <c r="B5" t="inlineStr">
        <is>
          <t>Sanjay Bhat</t>
        </is>
      </c>
      <c r="C5" t="inlineStr">
        <is>
          <t>Finance Manager</t>
        </is>
      </c>
      <c r="D5" t="inlineStr">
        <is>
          <t>sanjay@company.com</t>
        </is>
      </c>
    </row>
    <row r="6">
      <c r="A6" t="inlineStr">
        <is>
          <t>M005</t>
        </is>
      </c>
      <c r="B6" t="inlineStr">
        <is>
          <t>Nitin Arora</t>
        </is>
      </c>
      <c r="C6" t="inlineStr">
        <is>
          <t>IT Manager</t>
        </is>
      </c>
      <c r="D6" t="inlineStr">
        <is>
          <t>nitin@company.com</t>
        </is>
      </c>
    </row>
    <row r="7">
      <c r="A7" t="inlineStr">
        <is>
          <t>M006</t>
        </is>
      </c>
      <c r="B7" t="inlineStr">
        <is>
          <t>Pooja Menon</t>
        </is>
      </c>
      <c r="C7" t="inlineStr">
        <is>
          <t>Marketing Manager</t>
        </is>
      </c>
      <c r="D7" t="inlineStr">
        <is>
          <t>pooja@company.com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8" customHeight="1">
      <c r="A1" s="3" t="n">
        <v>0</v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t="inlineStr">
        <is>
          <t>Month</t>
        </is>
      </c>
      <c r="B2" t="inlineStr">
        <is>
          <t>Jan</t>
        </is>
      </c>
      <c r="C2" t="inlineStr">
        <is>
          <t>Feb</t>
        </is>
      </c>
      <c r="D2" t="inlineStr">
        <is>
          <t>Mar</t>
        </is>
      </c>
      <c r="E2" t="inlineStr">
        <is>
          <t>Apr</t>
        </is>
      </c>
      <c r="F2" t="inlineStr">
        <is>
          <t>May</t>
        </is>
      </c>
      <c r="G2" t="inlineStr">
        <is>
          <t>Jun</t>
        </is>
      </c>
      <c r="H2" t="inlineStr">
        <is>
          <t>Jul</t>
        </is>
      </c>
      <c r="I2" t="inlineStr">
        <is>
          <t>Aug</t>
        </is>
      </c>
      <c r="J2" t="inlineStr">
        <is>
          <t>Sep</t>
        </is>
      </c>
      <c r="K2" t="inlineStr">
        <is>
          <t>Oct</t>
        </is>
      </c>
      <c r="L2" t="inlineStr">
        <is>
          <t>Nov</t>
        </is>
      </c>
      <c r="M2" t="inlineStr">
        <is>
          <t>Dec</t>
        </is>
      </c>
    </row>
    <row r="3">
      <c r="A3" t="inlineStr">
        <is>
          <t>North</t>
        </is>
      </c>
      <c r="B3" t="n">
        <v>120000</v>
      </c>
      <c r="C3" t="n">
        <v>125000</v>
      </c>
      <c r="D3" t="n">
        <v>130000</v>
      </c>
      <c r="E3" t="n">
        <v>135000</v>
      </c>
      <c r="F3" t="n">
        <v>140000</v>
      </c>
      <c r="G3" t="n">
        <v>145000</v>
      </c>
      <c r="H3" t="n">
        <v>150000</v>
      </c>
      <c r="I3" t="n">
        <v>152000</v>
      </c>
      <c r="J3" t="n">
        <v>155000</v>
      </c>
      <c r="K3" t="n">
        <v>160000</v>
      </c>
      <c r="L3" t="n">
        <v>165000</v>
      </c>
      <c r="M3" t="n">
        <v>170000</v>
      </c>
    </row>
    <row r="4">
      <c r="A4" t="inlineStr">
        <is>
          <t>South</t>
        </is>
      </c>
      <c r="B4" t="n">
        <v>100000</v>
      </c>
      <c r="C4" t="n">
        <v>105000</v>
      </c>
      <c r="D4" t="n">
        <v>110000</v>
      </c>
      <c r="E4" t="n">
        <v>115000</v>
      </c>
      <c r="F4" t="n">
        <v>120000</v>
      </c>
      <c r="G4" t="n">
        <v>125000</v>
      </c>
      <c r="H4" t="n">
        <v>130000</v>
      </c>
      <c r="I4" t="n">
        <v>133000</v>
      </c>
      <c r="J4" t="n">
        <v>136000</v>
      </c>
      <c r="K4" t="n">
        <v>140000</v>
      </c>
      <c r="L4" t="n">
        <v>145000</v>
      </c>
      <c r="M4" t="n">
        <v>150000</v>
      </c>
    </row>
    <row r="5">
      <c r="A5" t="inlineStr">
        <is>
          <t>Central</t>
        </is>
      </c>
      <c r="B5" t="n">
        <v>115000</v>
      </c>
      <c r="C5" t="n">
        <v>118000</v>
      </c>
      <c r="D5" t="n">
        <v>122000</v>
      </c>
      <c r="E5" t="n">
        <v>126000</v>
      </c>
      <c r="F5" t="n">
        <v>130000</v>
      </c>
      <c r="G5" t="n">
        <v>134000</v>
      </c>
      <c r="H5" t="n">
        <v>138000</v>
      </c>
      <c r="I5" t="n">
        <v>141000</v>
      </c>
      <c r="J5" t="n">
        <v>144000</v>
      </c>
      <c r="K5" t="n">
        <v>148000</v>
      </c>
      <c r="L5" t="n">
        <v>152000</v>
      </c>
      <c r="M5" t="n">
        <v>156000</v>
      </c>
    </row>
    <row r="6">
      <c r="A6" t="inlineStr">
        <is>
          <t>West</t>
        </is>
      </c>
      <c r="B6" t="n">
        <v>110000</v>
      </c>
      <c r="C6" t="n">
        <v>114000</v>
      </c>
      <c r="D6" t="n">
        <v>118000</v>
      </c>
      <c r="E6" t="n">
        <v>122000</v>
      </c>
      <c r="F6" t="n">
        <v>126000</v>
      </c>
      <c r="G6" t="n">
        <v>130000</v>
      </c>
      <c r="H6" t="n">
        <v>134000</v>
      </c>
      <c r="I6" t="n">
        <v>137000</v>
      </c>
      <c r="J6" t="n">
        <v>140000</v>
      </c>
      <c r="K6" t="n">
        <v>144000</v>
      </c>
      <c r="L6" t="n">
        <v>148000</v>
      </c>
      <c r="M6" t="n">
        <v>152000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</cols>
  <sheetData>
    <row r="1" ht="28" customHeight="1">
      <c r="A1" s="3" t="inlineStr">
        <is>
          <t>Price_Band</t>
        </is>
      </c>
      <c r="B1" s="3" t="inlineStr">
        <is>
          <t>1-5 Units</t>
        </is>
      </c>
      <c r="C1" s="3" t="inlineStr">
        <is>
          <t>6-10 Units</t>
        </is>
      </c>
      <c r="D1" s="3" t="inlineStr">
        <is>
          <t>11-20 Units</t>
        </is>
      </c>
      <c r="E1" s="3" t="inlineStr">
        <is>
          <t>21+ Units</t>
        </is>
      </c>
    </row>
    <row r="2">
      <c r="A2" t="inlineStr">
        <is>
          <t>Standard</t>
        </is>
      </c>
      <c r="B2" s="7" t="n">
        <v>0.05</v>
      </c>
      <c r="C2" s="7" t="n">
        <v>0.07000000000000001</v>
      </c>
      <c r="D2" s="7" t="n">
        <v>0.1</v>
      </c>
      <c r="E2" s="7" t="n">
        <v>0.12</v>
      </c>
    </row>
    <row r="3">
      <c r="A3" t="inlineStr">
        <is>
          <t>Premium</t>
        </is>
      </c>
      <c r="B3" s="7" t="n">
        <v>0.08</v>
      </c>
      <c r="C3" s="7" t="n">
        <v>0.1</v>
      </c>
      <c r="D3" s="7" t="n">
        <v>0.12</v>
      </c>
      <c r="E3" s="7" t="n">
        <v>0.15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2" customWidth="1" min="4" max="4"/>
  </cols>
  <sheetData>
    <row r="1" ht="28" customHeight="1">
      <c r="A1" s="3" t="inlineStr">
        <is>
          <t>Product_ID</t>
        </is>
      </c>
      <c r="B1" s="3" t="inlineStr">
        <is>
          <t>Supplier</t>
        </is>
      </c>
      <c r="C1" s="3" t="inlineStr">
        <is>
          <t>Supplier_City</t>
        </is>
      </c>
      <c r="D1" s="3" t="inlineStr">
        <is>
          <t>Lead_Time</t>
        </is>
      </c>
    </row>
    <row r="2">
      <c r="A2" t="inlineStr">
        <is>
          <t>P101</t>
        </is>
      </c>
      <c r="B2" t="inlineStr">
        <is>
          <t>TechSource India</t>
        </is>
      </c>
      <c r="C2" t="inlineStr">
        <is>
          <t>Delhi</t>
        </is>
      </c>
      <c r="D2" t="inlineStr">
        <is>
          <t>12 days</t>
        </is>
      </c>
    </row>
    <row r="3">
      <c r="A3" t="inlineStr">
        <is>
          <t>P102</t>
        </is>
      </c>
      <c r="B3" t="inlineStr">
        <is>
          <t>TechSource India</t>
        </is>
      </c>
      <c r="C3" t="inlineStr">
        <is>
          <t>Delhi</t>
        </is>
      </c>
      <c r="D3" t="inlineStr">
        <is>
          <t>10 days</t>
        </is>
      </c>
    </row>
    <row r="4">
      <c r="A4" t="inlineStr">
        <is>
          <t>P103</t>
        </is>
      </c>
      <c r="B4" t="inlineStr">
        <is>
          <t>AccessWorld</t>
        </is>
      </c>
      <c r="C4" t="inlineStr">
        <is>
          <t>Mumbai</t>
        </is>
      </c>
      <c r="D4" t="inlineStr">
        <is>
          <t>7 days</t>
        </is>
      </c>
    </row>
    <row r="5">
      <c r="A5" t="inlineStr">
        <is>
          <t>P104</t>
        </is>
      </c>
      <c r="B5" t="inlineStr">
        <is>
          <t>AccessWorld</t>
        </is>
      </c>
      <c r="C5" t="inlineStr">
        <is>
          <t>Mumbai</t>
        </is>
      </c>
      <c r="D5" t="inlineStr">
        <is>
          <t>9 days</t>
        </is>
      </c>
    </row>
    <row r="6">
      <c r="A6" t="inlineStr">
        <is>
          <t>P105</t>
        </is>
      </c>
      <c r="B6" t="inlineStr">
        <is>
          <t>DisplayHub</t>
        </is>
      </c>
      <c r="C6" t="inlineStr">
        <is>
          <t>Pune</t>
        </is>
      </c>
      <c r="D6" t="inlineStr">
        <is>
          <t>14 days</t>
        </is>
      </c>
    </row>
    <row r="7">
      <c r="A7" t="inlineStr">
        <is>
          <t>P106</t>
        </is>
      </c>
      <c r="B7" t="inlineStr">
        <is>
          <t>AccessWorld</t>
        </is>
      </c>
      <c r="C7" t="inlineStr">
        <is>
          <t>Mumbai</t>
        </is>
      </c>
      <c r="D7" t="inlineStr">
        <is>
          <t>7 days</t>
        </is>
      </c>
    </row>
    <row r="8">
      <c r="A8" t="inlineStr">
        <is>
          <t>P107</t>
        </is>
      </c>
      <c r="B8" t="inlineStr">
        <is>
          <t>AudioKart</t>
        </is>
      </c>
      <c r="C8" t="inlineStr">
        <is>
          <t>Bengaluru</t>
        </is>
      </c>
      <c r="D8" t="inlineStr">
        <is>
          <t>11 days</t>
        </is>
      </c>
    </row>
    <row r="9">
      <c r="A9" t="inlineStr">
        <is>
          <t>P108</t>
        </is>
      </c>
      <c r="B9" t="inlineStr">
        <is>
          <t>AudioKart</t>
        </is>
      </c>
      <c r="C9" t="inlineStr">
        <is>
          <t>Bengaluru</t>
        </is>
      </c>
      <c r="D9" t="inlineStr">
        <is>
          <t>8 days</t>
        </is>
      </c>
    </row>
    <row r="10">
      <c r="A10" t="inlineStr">
        <is>
          <t>P109</t>
        </is>
      </c>
      <c r="B10" t="inlineStr">
        <is>
          <t>VisionPro</t>
        </is>
      </c>
      <c r="C10" t="inlineStr">
        <is>
          <t>Hyderabad</t>
        </is>
      </c>
      <c r="D10" t="inlineStr">
        <is>
          <t>10 days</t>
        </is>
      </c>
    </row>
    <row r="11">
      <c r="A11" t="inlineStr">
        <is>
          <t>P110</t>
        </is>
      </c>
      <c r="B11" t="inlineStr">
        <is>
          <t>TabletWorks</t>
        </is>
      </c>
      <c r="C11" t="inlineStr">
        <is>
          <t>Chennai</t>
        </is>
      </c>
      <c r="D11" t="inlineStr">
        <is>
          <t>13 days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2" customWidth="1" min="2" max="2"/>
    <col width="28" customWidth="1" min="3" max="3"/>
    <col width="28" customWidth="1" min="4" max="4"/>
  </cols>
  <sheetData>
    <row r="1" ht="28" customHeight="1">
      <c r="A1" s="8" t="inlineStr">
        <is>
          <t>TASK-BASED PRACTICE — DO NOT LOOK FOR FORMULAS FIRST; IDENTIFY THE KEY</t>
        </is>
      </c>
      <c r="B1" s="9" t="n"/>
      <c r="C1" s="9" t="n"/>
      <c r="D1" s="9" t="n"/>
    </row>
    <row r="2">
      <c r="A2" s="10" t="inlineStr">
        <is>
          <t>Level</t>
        </is>
      </c>
      <c r="B2" s="10" t="inlineStr">
        <is>
          <t>Task</t>
        </is>
      </c>
      <c r="C2" s="10" t="inlineStr">
        <is>
          <t>Function Focus</t>
        </is>
      </c>
      <c r="D2" s="10" t="inlineStr">
        <is>
          <t>Expected Output</t>
        </is>
      </c>
    </row>
    <row r="3" ht="34" customHeight="1">
      <c r="A3" s="11" t="inlineStr">
        <is>
          <t>1</t>
        </is>
      </c>
      <c r="B3" s="11" t="inlineStr">
        <is>
          <t>In Employees, retrieve each employee's Manager Name using Manager_ID.</t>
        </is>
      </c>
      <c r="C3" s="11" t="inlineStr">
        <is>
          <t>VLOOKUP</t>
        </is>
      </c>
      <c r="D3" s="11" t="inlineStr">
        <is>
          <t>Manager Name</t>
        </is>
      </c>
    </row>
    <row r="4" ht="34" customHeight="1">
      <c r="A4" s="11" t="inlineStr">
        <is>
          <t>1</t>
        </is>
      </c>
      <c r="B4" s="11" t="inlineStr">
        <is>
          <t>In Employees, retrieve each employee manager's Role.</t>
        </is>
      </c>
      <c r="C4" s="11" t="inlineStr">
        <is>
          <t>VLOOKUP</t>
        </is>
      </c>
      <c r="D4" s="11" t="inlineStr">
        <is>
          <t>Manager Role</t>
        </is>
      </c>
    </row>
    <row r="5" ht="34" customHeight="1">
      <c r="A5" s="11" t="inlineStr">
        <is>
          <t>1</t>
        </is>
      </c>
      <c r="B5" s="11" t="inlineStr">
        <is>
          <t>In Sales, retrieve Product Name for every order using Product_ID.</t>
        </is>
      </c>
      <c r="C5" s="11" t="inlineStr">
        <is>
          <t>VLOOKUP</t>
        </is>
      </c>
      <c r="D5" s="11" t="inlineStr">
        <is>
          <t>Product Name</t>
        </is>
      </c>
    </row>
    <row r="6" ht="34" customHeight="1">
      <c r="A6" s="11" t="inlineStr">
        <is>
          <t>1</t>
        </is>
      </c>
      <c r="B6" s="11" t="inlineStr">
        <is>
          <t>In Sales, retrieve Unit Price for every order.</t>
        </is>
      </c>
      <c r="C6" s="11" t="inlineStr">
        <is>
          <t>VLOOKUP</t>
        </is>
      </c>
      <c r="D6" s="11" t="inlineStr">
        <is>
          <t>Unit Price</t>
        </is>
      </c>
    </row>
    <row r="7" ht="34" customHeight="1">
      <c r="A7" s="11" t="inlineStr">
        <is>
          <t>1</t>
        </is>
      </c>
      <c r="B7" s="11" t="inlineStr">
        <is>
          <t>In Sales, retrieve Customer Segment for every order.</t>
        </is>
      </c>
      <c r="C7" s="11" t="inlineStr">
        <is>
          <t>VLOOKUP</t>
        </is>
      </c>
      <c r="D7" s="11" t="inlineStr">
        <is>
          <t>Customer Segment</t>
        </is>
      </c>
    </row>
    <row r="8" ht="34" customHeight="1">
      <c r="A8" s="11" t="inlineStr">
        <is>
          <t>2</t>
        </is>
      </c>
      <c r="B8" s="11" t="inlineStr">
        <is>
          <t>In Sales, calculate Order Value = Quantity × Unit Price after linking Unit Price.</t>
        </is>
      </c>
      <c r="C8" s="11" t="inlineStr">
        <is>
          <t>VLOOKUP + arithmetic</t>
        </is>
      </c>
      <c r="D8" s="11" t="inlineStr">
        <is>
          <t>Order Value</t>
        </is>
      </c>
    </row>
    <row r="9" ht="34" customHeight="1">
      <c r="A9" s="11" t="inlineStr">
        <is>
          <t>2</t>
        </is>
      </c>
      <c r="B9" s="11" t="inlineStr">
        <is>
          <t>In Sales, retrieve Account Manager ID from Customers using Customer_ID.</t>
        </is>
      </c>
      <c r="C9" s="11" t="inlineStr">
        <is>
          <t>VLOOKUP</t>
        </is>
      </c>
      <c r="D9" s="11" t="inlineStr">
        <is>
          <t>Account Manager ID</t>
        </is>
      </c>
    </row>
    <row r="10" ht="34" customHeight="1">
      <c r="A10" s="11" t="inlineStr">
        <is>
          <t>2</t>
        </is>
      </c>
      <c r="B10" s="11" t="inlineStr">
        <is>
          <t>In Sales, retrieve Account Manager Name by linking Customer → Employee/Manager data.</t>
        </is>
      </c>
      <c r="C10" s="11" t="inlineStr">
        <is>
          <t>Chained lookup</t>
        </is>
      </c>
      <c r="D10" s="11" t="inlineStr">
        <is>
          <t>Manager Name</t>
        </is>
      </c>
    </row>
    <row r="11" ht="34" customHeight="1">
      <c r="A11" s="11" t="inlineStr">
        <is>
          <t>2</t>
        </is>
      </c>
      <c r="B11" s="11" t="inlineStr">
        <is>
          <t>For a selected month and region, retrieve the target from Monthly_Targets.</t>
        </is>
      </c>
      <c r="C11" s="11" t="inlineStr">
        <is>
          <t>HLOOKUP</t>
        </is>
      </c>
      <c r="D11" s="11" t="inlineStr">
        <is>
          <t>Monthly Target</t>
        </is>
      </c>
    </row>
    <row r="12" ht="34" customHeight="1">
      <c r="A12" s="11" t="inlineStr">
        <is>
          <t>2</t>
        </is>
      </c>
      <c r="B12" s="11" t="inlineStr">
        <is>
          <t>For the selected month, compare actual sales with target after linking Sales data.</t>
        </is>
      </c>
      <c r="C12" s="11" t="inlineStr">
        <is>
          <t>HLOOKUP + SUMIFS</t>
        </is>
      </c>
      <c r="D12" s="11" t="inlineStr">
        <is>
          <t>Variance</t>
        </is>
      </c>
    </row>
    <row r="13" ht="34" customHeight="1">
      <c r="A13" s="11" t="inlineStr">
        <is>
          <t>3</t>
        </is>
      </c>
      <c r="B13" s="11" t="inlineStr">
        <is>
          <t>Use INDEX + MATCH to return Product Name from Product_ID.</t>
        </is>
      </c>
      <c r="C13" s="11" t="inlineStr">
        <is>
          <t>INDEX-MATCH</t>
        </is>
      </c>
      <c r="D13" s="11" t="inlineStr">
        <is>
          <t>Product Name</t>
        </is>
      </c>
    </row>
    <row r="14" ht="34" customHeight="1">
      <c r="A14" s="11" t="inlineStr">
        <is>
          <t>3</t>
        </is>
      </c>
      <c r="B14" s="11" t="inlineStr">
        <is>
          <t>Use INDEX + MATCH to return Unit Price from Product_ID.</t>
        </is>
      </c>
      <c r="C14" s="11" t="inlineStr">
        <is>
          <t>INDEX-MATCH</t>
        </is>
      </c>
      <c r="D14" s="11" t="inlineStr">
        <is>
          <t>Unit Price</t>
        </is>
      </c>
    </row>
    <row r="15" ht="34" customHeight="1">
      <c r="A15" s="11" t="inlineStr">
        <is>
          <t>3</t>
        </is>
      </c>
      <c r="B15" s="11" t="inlineStr">
        <is>
          <t>Use INDEX + MATCH to return Customer Name from Customer_ID.</t>
        </is>
      </c>
      <c r="C15" s="11" t="inlineStr">
        <is>
          <t>INDEX-MATCH</t>
        </is>
      </c>
      <c r="D15" s="11" t="inlineStr">
        <is>
          <t>Customer Name</t>
        </is>
      </c>
    </row>
    <row r="16" ht="34" customHeight="1">
      <c r="A16" s="11" t="inlineStr">
        <is>
          <t>3</t>
        </is>
      </c>
      <c r="B16" s="11" t="inlineStr">
        <is>
          <t>Retrieve Supplier for a Product_ID using INDEX + MATCH.</t>
        </is>
      </c>
      <c r="C16" s="11" t="inlineStr">
        <is>
          <t>INDEX-MATCH</t>
        </is>
      </c>
      <c r="D16" s="11" t="inlineStr">
        <is>
          <t>Supplier</t>
        </is>
      </c>
    </row>
    <row r="17" ht="34" customHeight="1">
      <c r="A17" s="11" t="inlineStr">
        <is>
          <t>3</t>
        </is>
      </c>
      <c r="B17" s="11" t="inlineStr">
        <is>
          <t>Retrieve Employee Name using Employee_ID with INDEX + MATCH.</t>
        </is>
      </c>
      <c r="C17" s="11" t="inlineStr">
        <is>
          <t>INDEX-MATCH</t>
        </is>
      </c>
      <c r="D17" s="11" t="inlineStr">
        <is>
          <t>Employee Name</t>
        </is>
      </c>
    </row>
    <row r="18" ht="34" customHeight="1">
      <c r="A18" s="11" t="inlineStr">
        <is>
          <t>4</t>
        </is>
      </c>
      <c r="B18" s="11" t="inlineStr">
        <is>
          <t>Build a two-way lookup: choose Region and Month and return the target.</t>
        </is>
      </c>
      <c r="C18" s="11" t="inlineStr">
        <is>
          <t>INDEX + MATCH + MATCH</t>
        </is>
      </c>
      <c r="D18" s="11" t="inlineStr">
        <is>
          <t>Target</t>
        </is>
      </c>
    </row>
    <row r="19" ht="34" customHeight="1">
      <c r="A19" s="11" t="inlineStr">
        <is>
          <t>4</t>
        </is>
      </c>
      <c r="B19" s="11" t="inlineStr">
        <is>
          <t>Use INDEX + MATCH to return the manager name when Manager_ID is given.</t>
        </is>
      </c>
      <c r="C19" s="11" t="inlineStr">
        <is>
          <t>INDEX-MATCH</t>
        </is>
      </c>
      <c r="D19" s="11" t="inlineStr">
        <is>
          <t>Manager Name</t>
        </is>
      </c>
    </row>
    <row r="20" ht="34" customHeight="1">
      <c r="A20" s="11" t="inlineStr">
        <is>
          <t>4</t>
        </is>
      </c>
      <c r="B20" s="11" t="inlineStr">
        <is>
          <t>Create a lookup that returns 'Not Found' when an invalid Product_ID is entered.</t>
        </is>
      </c>
      <c r="C20" s="11" t="inlineStr">
        <is>
          <t>IFERROR + lookup</t>
        </is>
      </c>
      <c r="D20" s="11" t="inlineStr">
        <is>
          <t>Error-safe result</t>
        </is>
      </c>
    </row>
    <row r="21" ht="34" customHeight="1">
      <c r="A21" s="11" t="inlineStr">
        <is>
          <t>4</t>
        </is>
      </c>
      <c r="B21" s="11" t="inlineStr">
        <is>
          <t>Create a lookup that returns 'Customer Missing' when an invalid Customer_ID is entered.</t>
        </is>
      </c>
      <c r="C21" s="11" t="inlineStr">
        <is>
          <t>IFERROR + lookup</t>
        </is>
      </c>
      <c r="D21" s="11" t="inlineStr">
        <is>
          <t>Error-safe result</t>
        </is>
      </c>
    </row>
    <row r="22" ht="34" customHeight="1">
      <c r="A22" s="11" t="inlineStr">
        <is>
          <t>5</t>
        </is>
      </c>
      <c r="B22" s="11" t="inlineStr">
        <is>
          <t>Create an enriched Sales table containing Product Name, Category, Unit Price, Customer Name, Segment, Region, Account Manager, Supplier and Lead Time.</t>
        </is>
      </c>
      <c r="C22" s="11" t="inlineStr">
        <is>
          <t>Advanced linking</t>
        </is>
      </c>
      <c r="D22" s="11" t="inlineStr">
        <is>
          <t>9 linked fields</t>
        </is>
      </c>
    </row>
    <row r="23" ht="34" customHeight="1">
      <c r="A23" s="11" t="inlineStr">
        <is>
          <t>5</t>
        </is>
      </c>
      <c r="B23" s="11" t="inlineStr">
        <is>
          <t>Calculate gross order value and discounted value using Product price band + Discount_Matrix.</t>
        </is>
      </c>
      <c r="C23" s="11" t="inlineStr">
        <is>
          <t>INDEX-MATCH + lookup logic</t>
        </is>
      </c>
      <c r="D23" s="11" t="inlineStr">
        <is>
          <t>Discounted Value</t>
        </is>
      </c>
    </row>
    <row r="24" ht="34" customHeight="1">
      <c r="A24" s="11" t="inlineStr">
        <is>
          <t>5</t>
        </is>
      </c>
      <c r="B24" s="11" t="inlineStr">
        <is>
          <t>Create a dynamic lookup where the user types a Product_ID and receives Product Name, Category, Price and Supplier.</t>
        </is>
      </c>
      <c r="C24" s="11" t="inlineStr">
        <is>
          <t>Advanced linking</t>
        </is>
      </c>
      <c r="D24" s="11" t="inlineStr">
        <is>
          <t>Dynamic mini-tool</t>
        </is>
      </c>
    </row>
    <row r="25" ht="34" customHeight="1">
      <c r="A25" s="11" t="inlineStr">
        <is>
          <t>5</t>
        </is>
      </c>
      <c r="B25" s="11" t="inlineStr">
        <is>
          <t>Find the employee name and department for a supplied Manager_ID by linking Managers and Employees.</t>
        </is>
      </c>
      <c r="C25" s="11" t="inlineStr">
        <is>
          <t>Multi-table linking</t>
        </is>
      </c>
      <c r="D25" s="11" t="inlineStr">
        <is>
          <t>Employee + Department</t>
        </is>
      </c>
    </row>
    <row r="26" ht="34" customHeight="1">
      <c r="A26" s="11" t="inlineStr">
        <is>
          <t>5</t>
        </is>
      </c>
      <c r="B26" s="11" t="inlineStr">
        <is>
          <t>Audit the Sales table: identify any Product_ID, Customer_ID or Employee/Manager ID that does not have a match.</t>
        </is>
      </c>
      <c r="C26" s="11" t="inlineStr">
        <is>
          <t>IFERROR / COUNTIF</t>
        </is>
      </c>
      <c r="D26" s="11" t="inlineStr">
        <is>
          <t>Exceptions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5" customWidth="1" min="2" max="2"/>
    <col width="35" customWidth="1" min="3" max="3"/>
  </cols>
  <sheetData>
    <row r="1" ht="28" customHeight="1">
      <c r="A1" s="3" t="inlineStr">
        <is>
          <t>TASK</t>
        </is>
      </c>
      <c r="B1" s="3" t="inlineStr">
        <is>
          <t>SOLUTION APPROACH / FORMULA PATTERN</t>
        </is>
      </c>
      <c r="C1" s="3" t="inlineStr">
        <is>
          <t>TEACHING POINT</t>
        </is>
      </c>
    </row>
    <row r="2">
      <c r="A2" s="11" t="inlineStr">
        <is>
          <t>1</t>
        </is>
      </c>
      <c r="B2" s="11">
        <f>VLOOKUP([@Manager_ID],Managers!$A$2:$D$7,2,FALSE)</f>
        <v/>
      </c>
      <c r="C2" s="11" t="inlineStr">
        <is>
          <t>Exact-match lookup</t>
        </is>
      </c>
    </row>
    <row r="3">
      <c r="A3" s="11" t="inlineStr">
        <is>
          <t>2</t>
        </is>
      </c>
      <c r="B3" s="11">
        <f>VLOOKUP([@Manager_ID],Managers!$A$2:$D$7,3,FALSE)</f>
        <v/>
      </c>
      <c r="C3" s="11" t="inlineStr">
        <is>
          <t>Return a different column</t>
        </is>
      </c>
    </row>
    <row r="4">
      <c r="A4" s="11" t="inlineStr">
        <is>
          <t>3</t>
        </is>
      </c>
      <c r="B4" s="11">
        <f>VLOOKUP([@Product_ID],Products!$A$2:$F$11,2,FALSE)</f>
        <v/>
      </c>
      <c r="C4" s="11" t="inlineStr">
        <is>
          <t>Transaction → master table</t>
        </is>
      </c>
    </row>
    <row r="5">
      <c r="A5" s="11" t="inlineStr">
        <is>
          <t>4</t>
        </is>
      </c>
      <c r="B5" s="11">
        <f>VLOOKUP([@Product_ID],Products!$A$2:$F$11,5,FALSE)</f>
        <v/>
      </c>
      <c r="C5" s="11" t="inlineStr">
        <is>
          <t>Lookup numeric attribute</t>
        </is>
      </c>
    </row>
    <row r="6">
      <c r="A6" s="11" t="inlineStr">
        <is>
          <t>5</t>
        </is>
      </c>
      <c r="B6" s="11">
        <f>VLOOKUP([@Customer_ID],Customers!$A$2:$E$13,3,FALSE)</f>
        <v/>
      </c>
      <c r="C6" s="11" t="inlineStr">
        <is>
          <t>Link customer master</t>
        </is>
      </c>
    </row>
    <row r="7">
      <c r="A7" s="11" t="inlineStr">
        <is>
          <t>6</t>
        </is>
      </c>
      <c r="B7" s="11">
        <f>Quantity*Unit_Price</f>
        <v/>
      </c>
      <c r="C7" s="11" t="inlineStr">
        <is>
          <t>Use lookup result in calculation</t>
        </is>
      </c>
    </row>
    <row r="8">
      <c r="A8" s="11" t="inlineStr">
        <is>
          <t>7</t>
        </is>
      </c>
      <c r="B8" s="11">
        <f>VLOOKUP([@Customer_ID],Customers!$A$2:$E$13,5,FALSE)</f>
        <v/>
      </c>
      <c r="C8" s="11" t="inlineStr">
        <is>
          <t>Second-level key</t>
        </is>
      </c>
    </row>
    <row r="9">
      <c r="A9" s="11" t="inlineStr">
        <is>
          <t>8</t>
        </is>
      </c>
      <c r="B9" s="11" t="inlineStr">
        <is>
          <t>First lookup Customer → Account_Manager_ID, then lookup that ID → Manager/Employee name</t>
        </is>
      </c>
      <c r="C9" s="11" t="inlineStr">
        <is>
          <t>Chained lookup</t>
        </is>
      </c>
    </row>
    <row r="10">
      <c r="A10" s="11" t="inlineStr">
        <is>
          <t>9</t>
        </is>
      </c>
      <c r="B10" s="11">
        <f>HLOOKUP(Month,Monthly_Targets!$B$1:$M$5,MATCH(Region,Monthly_Targets!$A$2:$A$5,0)+1,FALSE)</f>
        <v/>
      </c>
      <c r="C10" s="11" t="inlineStr">
        <is>
          <t>Horizontal lookup + row match</t>
        </is>
      </c>
    </row>
    <row r="11">
      <c r="A11" s="11" t="inlineStr">
        <is>
          <t>10</t>
        </is>
      </c>
      <c r="B11" s="11">
        <f>SUMIFS(Order_Value,Region,SelectedRegion,Month,SelectedMonth)-Target</f>
        <v/>
      </c>
      <c r="C11" s="11" t="inlineStr">
        <is>
          <t>Combine lookup with aggregation</t>
        </is>
      </c>
    </row>
    <row r="12">
      <c r="A12" s="11" t="inlineStr">
        <is>
          <t>11</t>
        </is>
      </c>
      <c r="B12" s="11">
        <f>INDEX(Products!$B$2:$B$11,MATCH(Product_ID,Products!$A$2:$A$11,0))</f>
        <v/>
      </c>
      <c r="C12" s="11" t="inlineStr">
        <is>
          <t>INDEX-MATCH</t>
        </is>
      </c>
    </row>
    <row r="13">
      <c r="A13" s="11" t="inlineStr">
        <is>
          <t>12</t>
        </is>
      </c>
      <c r="B13" s="11">
        <f>INDEX(Products!$E$2:$E$11,MATCH(Product_ID,Products!$A$2:$A$11,0))</f>
        <v/>
      </c>
      <c r="C13" s="11" t="inlineStr">
        <is>
          <t>INDEX-MATCH numeric return</t>
        </is>
      </c>
    </row>
    <row r="14">
      <c r="A14" s="11" t="inlineStr">
        <is>
          <t>13</t>
        </is>
      </c>
      <c r="B14" s="11">
        <f>INDEX(Customers!$B$2:$B$13,MATCH(Customer_ID,Customers!$A$2:$A$13,0))</f>
        <v/>
      </c>
      <c r="C14" s="11" t="inlineStr">
        <is>
          <t>Flexible lookup</t>
        </is>
      </c>
    </row>
    <row r="15">
      <c r="A15" s="11" t="inlineStr">
        <is>
          <t>14</t>
        </is>
      </c>
      <c r="B15" s="11">
        <f>INDEX(Suppliers!$B$2:$B$11,MATCH(Product_ID,Suppliers!$A$2:$A$11,0))</f>
        <v/>
      </c>
      <c r="C15" s="11" t="inlineStr">
        <is>
          <t>Lookup across separate master</t>
        </is>
      </c>
    </row>
    <row r="16">
      <c r="A16" s="11" t="inlineStr">
        <is>
          <t>15</t>
        </is>
      </c>
      <c r="B16" s="11">
        <f>INDEX(Employees!$B$2:$B$13,MATCH(Employee_ID,Employees!$A$2:$A$13,0))</f>
        <v/>
      </c>
      <c r="C16" s="11" t="inlineStr">
        <is>
          <t>Employee master</t>
        </is>
      </c>
    </row>
    <row r="17">
      <c r="A17" s="11" t="inlineStr">
        <is>
          <t>16</t>
        </is>
      </c>
      <c r="B17" s="11">
        <f>INDEX(Monthly_Targets!$B$2:$M$5,MATCH(Region,Monthly_Targets!$A$2:$A$5,0),MATCH(Month,Monthly_Targets!$B$1:$M$1,0))</f>
        <v/>
      </c>
      <c r="C17" s="11" t="inlineStr">
        <is>
          <t>Two-way lookup</t>
        </is>
      </c>
    </row>
    <row r="18">
      <c r="A18" s="11" t="inlineStr">
        <is>
          <t>17</t>
        </is>
      </c>
      <c r="B18" s="11">
        <f>INDEX(Managers!$B$2:$B$7,MATCH(Manager_ID,Managers!$A$2:$A$7,0))</f>
        <v/>
      </c>
      <c r="C18" s="11" t="inlineStr">
        <is>
          <t>INDEX-MATCH on manager key</t>
        </is>
      </c>
    </row>
    <row r="19">
      <c r="A19" s="11" t="inlineStr">
        <is>
          <t>18</t>
        </is>
      </c>
      <c r="B19" s="11">
        <f>IFERROR(INDEX(Products!$B$2:$B$11,MATCH(Product_ID,Products!$A$2:$A$11,0)),'Not Found')</f>
        <v/>
      </c>
      <c r="C19" s="11" t="inlineStr">
        <is>
          <t>Error handling</t>
        </is>
      </c>
    </row>
    <row r="20">
      <c r="A20" s="11" t="inlineStr">
        <is>
          <t>19</t>
        </is>
      </c>
      <c r="B20" s="11">
        <f>IFERROR(INDEX(Customers!$B$2:$B$13,MATCH(Customer_ID,Customers!$A$2:$A$13,0)),'Customer Missing')</f>
        <v/>
      </c>
      <c r="C20" s="11" t="inlineStr">
        <is>
          <t>Business-friendly errors</t>
        </is>
      </c>
    </row>
    <row r="21">
      <c r="A21" s="11" t="inlineStr">
        <is>
          <t>20</t>
        </is>
      </c>
      <c r="B21" s="11" t="inlineStr">
        <is>
          <t>Use multiple INDEX-MATCH/VLOOKUP formulas in Sales to enrich each order</t>
        </is>
      </c>
      <c r="C21" s="11" t="inlineStr">
        <is>
          <t>Data enrichment</t>
        </is>
      </c>
    </row>
    <row r="22">
      <c r="A22" s="11" t="inlineStr">
        <is>
          <t>21</t>
        </is>
      </c>
      <c r="B22" s="11" t="inlineStr">
        <is>
          <t>Discount rate can be retrieved from Discount_Matrix based on Price_Band and quantity band; then Order_Value*(1-Discount)</t>
        </is>
      </c>
      <c r="C22" s="11" t="inlineStr">
        <is>
          <t>Approximate/exact lookup logic</t>
        </is>
      </c>
    </row>
    <row r="23">
      <c r="A23" s="11" t="inlineStr">
        <is>
          <t>22</t>
        </is>
      </c>
      <c r="B23" s="11" t="inlineStr">
        <is>
          <t>Use a selected Product_ID cell and multiple INDEX-MATCH formulas referencing it</t>
        </is>
      </c>
      <c r="C23" s="11" t="inlineStr">
        <is>
          <t>Mini lookup tool</t>
        </is>
      </c>
    </row>
    <row r="24">
      <c r="A24" s="11" t="inlineStr">
        <is>
          <t>23</t>
        </is>
      </c>
      <c r="B24" s="11" t="inlineStr">
        <is>
          <t>Managers → Employee_ID is one direction; Employees → Manager_ID is another. Use INDEX-MATCH to reverse the relationship.</t>
        </is>
      </c>
      <c r="C24" s="11" t="inlineStr">
        <is>
          <t>Relationship navigation</t>
        </is>
      </c>
    </row>
    <row r="25">
      <c r="A25" s="11" t="inlineStr">
        <is>
          <t>24</t>
        </is>
      </c>
      <c r="B25" s="11" t="inlineStr">
        <is>
          <t>Wrap lookups in IFERROR or validate keys with COUNTIF/COUNTIFS</t>
        </is>
      </c>
      <c r="C25" s="11" t="inlineStr">
        <is>
          <t>Data quality audit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2" t="inlineStr">
        <is>
          <t>ADVANCED LOOKUP MINI-TOOL</t>
        </is>
      </c>
    </row>
    <row r="2">
      <c r="A2" t="inlineStr">
        <is>
          <t>Enter a Product_ID in B3, Customer_ID in B4, and Region/Month in B5/B6. Then build the formulas in column B.</t>
        </is>
      </c>
    </row>
    <row r="3">
      <c r="A3" s="13" t="inlineStr">
        <is>
          <t>Product_ID</t>
        </is>
      </c>
      <c r="B3" s="14" t="inlineStr">
        <is>
          <t>P101</t>
        </is>
      </c>
    </row>
    <row r="4">
      <c r="A4" s="13" t="inlineStr">
        <is>
          <t>Customer_ID</t>
        </is>
      </c>
      <c r="B4" s="14" t="inlineStr">
        <is>
          <t>C001</t>
        </is>
      </c>
    </row>
    <row r="5">
      <c r="A5" s="13" t="inlineStr">
        <is>
          <t>Region</t>
        </is>
      </c>
      <c r="B5" s="14" t="inlineStr">
        <is>
          <t>North</t>
        </is>
      </c>
    </row>
    <row r="6">
      <c r="A6" s="13" t="inlineStr">
        <is>
          <t>Month</t>
        </is>
      </c>
      <c r="B6" s="14" t="inlineStr">
        <is>
          <t>Jul</t>
        </is>
      </c>
    </row>
    <row r="7">
      <c r="A7" t="inlineStr"/>
    </row>
    <row r="8">
      <c r="A8" s="10" t="inlineStr">
        <is>
          <t>OUTPUT</t>
        </is>
      </c>
      <c r="B8" s="10" t="inlineStr">
        <is>
          <t>VALUE</t>
        </is>
      </c>
    </row>
    <row r="9">
      <c r="A9" s="13" t="inlineStr">
        <is>
          <t>Product Name</t>
        </is>
      </c>
      <c r="B9" t="inlineStr"/>
    </row>
    <row r="10">
      <c r="A10" s="13" t="inlineStr">
        <is>
          <t>Category</t>
        </is>
      </c>
      <c r="B10" t="inlineStr"/>
    </row>
    <row r="11">
      <c r="A11" s="13" t="inlineStr">
        <is>
          <t>Unit Price</t>
        </is>
      </c>
      <c r="B11" t="inlineStr"/>
    </row>
    <row r="12">
      <c r="A12" s="13" t="inlineStr">
        <is>
          <t>Supplier</t>
        </is>
      </c>
      <c r="B12" t="inlineStr"/>
    </row>
    <row r="13">
      <c r="A13" s="13" t="inlineStr">
        <is>
          <t>Lead Time</t>
        </is>
      </c>
      <c r="B13" t="inlineStr"/>
    </row>
    <row r="14">
      <c r="A14" s="13" t="inlineStr">
        <is>
          <t>Customer Name</t>
        </is>
      </c>
      <c r="B14" t="inlineStr"/>
    </row>
    <row r="15">
      <c r="A15" s="13" t="inlineStr">
        <is>
          <t>Customer Segment</t>
        </is>
      </c>
      <c r="B15" t="inlineStr"/>
    </row>
    <row r="16">
      <c r="A16" s="13" t="inlineStr">
        <is>
          <t>Account Manager</t>
        </is>
      </c>
      <c r="B16" t="inlineStr"/>
    </row>
    <row r="17">
      <c r="A17" s="13" t="inlineStr">
        <is>
          <t>Monthly Target</t>
        </is>
      </c>
      <c r="B17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Data Science Instructor</dc:creator>
  <dc:title xmlns:dc="http://purl.org/dc/elements/1.1/">Advanced Data Linking Practice Workbook</dc:title>
  <dc:subject xmlns:dc="http://purl.org/dc/elements/1.1/">VLOOKUP, HLOOKUP, INDEX-MATCH and Advanced Data Linking</dc:subject>
  <dcterms:created xmlns:dcterms="http://purl.org/dc/terms/" xmlns:xsi="http://www.w3.org/2001/XMLSchema-instance" xsi:type="dcterms:W3CDTF">2026-08-11T10:56:14Z</dcterms:created>
  <dcterms:modified xmlns:dcterms="http://purl.org/dc/terms/" xmlns:xsi="http://www.w3.org/2001/XMLSchema-instance" xsi:type="dcterms:W3CDTF">2026-08-11T10:56:14Z</dcterms:modified>
</cp:coreProperties>
</file>